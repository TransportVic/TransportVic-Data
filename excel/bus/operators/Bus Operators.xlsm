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C5C17554-1DC4-9647-98B6-B15B79FBF0B5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5" l="1"/>
  <c r="M70" i="5"/>
  <c r="M3" i="5"/>
  <c r="M4" i="5"/>
  <c r="M5" i="5"/>
  <c r="M2" i="5"/>
  <c r="M10" i="5"/>
  <c r="M11" i="5"/>
  <c r="M12" i="5"/>
  <c r="M13" i="5"/>
  <c r="M14" i="5"/>
  <c r="M15" i="5"/>
  <c r="M16" i="5"/>
  <c r="M17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6" i="5"/>
  <c r="M47" i="5"/>
  <c r="M49" i="5"/>
  <c r="M50" i="5"/>
  <c r="M51" i="5"/>
  <c r="M52" i="5"/>
  <c r="M55" i="5"/>
  <c r="M56" i="5"/>
  <c r="M57" i="5"/>
  <c r="M58" i="5"/>
  <c r="M60" i="5"/>
  <c r="M61" i="5"/>
  <c r="M62" i="5"/>
  <c r="M63" i="5"/>
  <c r="M64" i="5"/>
  <c r="M65" i="5"/>
  <c r="M66" i="5"/>
  <c r="M67" i="5"/>
  <c r="M68" i="5"/>
  <c r="M69" i="5"/>
  <c r="M7" i="5"/>
  <c r="M9" i="5"/>
  <c r="M8" i="5"/>
  <c r="A2" i="4" a="1"/>
  <c r="A2" i="4" s="1"/>
  <c r="B2" i="4" s="1"/>
  <c r="O2" i="5" a="1"/>
  <c r="J3" i="5" a="1"/>
  <c r="J4" i="5" a="1"/>
  <c r="J5" i="5" a="1"/>
  <c r="J7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9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6" i="5" a="1"/>
  <c r="J47" i="5" a="1"/>
  <c r="J49" i="5" a="1"/>
  <c r="J50" i="5" a="1"/>
  <c r="J51" i="5" a="1"/>
  <c r="J52" i="5" a="1"/>
  <c r="J53" i="5" a="1"/>
  <c r="J55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70" i="5" a="1"/>
  <c r="J69" i="5" a="1"/>
  <c r="J2" i="5" a="1"/>
  <c r="G2" i="5" a="1"/>
  <c r="G10" i="5" a="1"/>
  <c r="G14" i="5" a="1"/>
  <c r="G22" i="5" a="1"/>
  <c r="G26" i="5" a="1"/>
  <c r="G30" i="5" a="1"/>
  <c r="G34" i="5" a="1"/>
  <c r="G38" i="5" a="1"/>
  <c r="G42" i="5" a="1"/>
  <c r="G46" i="5" a="1"/>
  <c r="G50" i="5" a="1"/>
  <c r="G58" i="5" a="1"/>
  <c r="G62" i="5" a="1"/>
  <c r="G66" i="5" a="1"/>
  <c r="G70" i="5" a="1"/>
  <c r="G9" i="5" a="1"/>
  <c r="G13" i="5" a="1"/>
  <c r="G17" i="5" a="1"/>
  <c r="G21" i="5" a="1"/>
  <c r="G25" i="5" a="1"/>
  <c r="G29" i="5" a="1"/>
  <c r="G33" i="5" a="1"/>
  <c r="G37" i="5" a="1"/>
  <c r="G41" i="5" a="1"/>
  <c r="G49" i="5" a="1"/>
  <c r="G69" i="5" a="1"/>
  <c r="G8" i="5" a="1"/>
  <c r="G12" i="5" a="1"/>
  <c r="G16" i="5" a="1"/>
  <c r="G20" i="5" a="1"/>
  <c r="G24" i="5" a="1"/>
  <c r="G28" i="5" a="1"/>
  <c r="G32" i="5" a="1"/>
  <c r="G36" i="5" a="1"/>
  <c r="G40" i="5" a="1"/>
  <c r="G44" i="5" a="1"/>
  <c r="G52" i="5" a="1"/>
  <c r="G56" i="5" a="1"/>
  <c r="G60" i="5" a="1"/>
  <c r="G64" i="5" a="1"/>
  <c r="G68" i="5" a="1"/>
  <c r="G43" i="5" a="1"/>
  <c r="G47" i="5" a="1"/>
  <c r="G51" i="5" a="1"/>
  <c r="G55" i="5" a="1"/>
  <c r="G59" i="5" a="1"/>
  <c r="G63" i="5" a="1"/>
  <c r="G67" i="5" a="1"/>
  <c r="G53" i="5" a="1"/>
  <c r="G57" i="5" a="1"/>
  <c r="G61" i="5" a="1"/>
  <c r="G65" i="5" a="1"/>
  <c r="G7" i="5" a="1"/>
  <c r="G11" i="5" a="1"/>
  <c r="G15" i="5" a="1"/>
  <c r="G19" i="5" a="1"/>
  <c r="G23" i="5" a="1"/>
  <c r="G27" i="5" a="1"/>
  <c r="G31" i="5" a="1"/>
  <c r="G35" i="5" a="1"/>
  <c r="G39" i="5" a="1"/>
  <c r="O1" i="5" a="1"/>
  <c r="G5" i="5" a="1"/>
  <c r="G4" i="5" a="1"/>
  <c r="G3" i="5" a="1"/>
  <c r="J6" i="5" a="1"/>
  <c r="G6" i="5" a="1"/>
  <c r="J54" i="5" a="1"/>
  <c r="G54" i="5" a="1"/>
  <c r="J45" i="5" a="1"/>
  <c r="G45" i="5" a="1"/>
  <c r="J48" i="5" a="1"/>
  <c r="G48" i="5" a="1"/>
  <c r="J18" i="5" a="1"/>
  <c r="G18" i="5" a="1"/>
  <c r="B4" i="4" l="1"/>
  <c r="B67" i="4"/>
  <c r="B63" i="4"/>
  <c r="B59" i="4"/>
  <c r="B55" i="4"/>
  <c r="B51" i="4"/>
  <c r="B47" i="4"/>
  <c r="B43" i="4"/>
  <c r="C43" i="4" s="1"/>
  <c r="B39" i="4"/>
  <c r="B35" i="4"/>
  <c r="B31" i="4"/>
  <c r="B27" i="4"/>
  <c r="B23" i="4"/>
  <c r="B19" i="4"/>
  <c r="C19" i="4" s="1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C17" i="4" s="1"/>
  <c r="B13" i="4"/>
  <c r="B9" i="4"/>
  <c r="B68" i="4"/>
  <c r="C68" i="4" s="1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69" i="5"/>
  <c r="J70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G39" i="5"/>
  <c r="G35" i="5"/>
  <c r="G31" i="5"/>
  <c r="G27" i="5"/>
  <c r="G23" i="5"/>
  <c r="G19" i="5"/>
  <c r="G15" i="5"/>
  <c r="G11" i="5"/>
  <c r="G7" i="5"/>
  <c r="G65" i="5"/>
  <c r="G61" i="5"/>
  <c r="G57" i="5"/>
  <c r="G53" i="5"/>
  <c r="G45" i="5"/>
  <c r="M45" i="5" s="1"/>
  <c r="G67" i="5"/>
  <c r="G63" i="5"/>
  <c r="G59" i="5"/>
  <c r="G55" i="5"/>
  <c r="G51" i="5"/>
  <c r="G47" i="5"/>
  <c r="G43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69" i="5"/>
  <c r="G49" i="5"/>
  <c r="G41" i="5"/>
  <c r="G37" i="5"/>
  <c r="G33" i="5"/>
  <c r="G29" i="5"/>
  <c r="G25" i="5"/>
  <c r="G21" i="5"/>
  <c r="G17" i="5"/>
  <c r="G13" i="5"/>
  <c r="G9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O1" i="5"/>
  <c r="G5" i="5"/>
  <c r="G4" i="5"/>
  <c r="G3" i="5"/>
  <c r="H35" i="5" a="1"/>
  <c r="K35" i="5" a="1"/>
  <c r="K65" i="5" a="1"/>
  <c r="K68" i="5" a="1"/>
  <c r="K18" i="5" a="1"/>
  <c r="K15" i="5" a="1"/>
  <c r="K67" i="5" a="1"/>
  <c r="K64" i="5" a="1"/>
  <c r="K32" i="5" a="1"/>
  <c r="K49" i="5" a="1"/>
  <c r="K13" i="5" a="1"/>
  <c r="K46" i="5" a="1"/>
  <c r="K14" i="5" a="1"/>
  <c r="K53" i="5" a="1"/>
  <c r="K24" i="5" a="1"/>
  <c r="K54" i="5" a="1"/>
  <c r="K52" i="5" a="1"/>
  <c r="K34" i="5" a="1"/>
  <c r="K44" i="5" a="1"/>
  <c r="K7" i="5" a="1"/>
  <c r="K40" i="5" a="1"/>
  <c r="K22" i="5" a="1"/>
  <c r="K36" i="5" a="1"/>
  <c r="K50" i="5" a="1"/>
  <c r="K37" i="5" a="1"/>
  <c r="K55" i="5" a="1"/>
  <c r="K66" i="5" a="1"/>
  <c r="H45" i="5" a="1"/>
  <c r="H33" i="5" a="1"/>
  <c r="H31" i="5" a="1"/>
  <c r="H61" i="5" a="1"/>
  <c r="H51" i="5" a="1"/>
  <c r="H48" i="5" a="1"/>
  <c r="H16" i="5" a="1"/>
  <c r="H29" i="5" a="1"/>
  <c r="H62" i="5" a="1"/>
  <c r="H30" i="5" a="1"/>
  <c r="H23" i="5" a="1"/>
  <c r="H56" i="5" a="1"/>
  <c r="H21" i="5" a="1"/>
  <c r="H6" i="5" a="1"/>
  <c r="H17" i="5" a="1"/>
  <c r="H2" i="5" a="1"/>
  <c r="H4" i="5" a="1"/>
  <c r="H43" i="5" a="1"/>
  <c r="H70" i="5" a="1"/>
  <c r="H3" i="5" a="1"/>
  <c r="H69" i="5" a="1"/>
  <c r="H39" i="5" a="1"/>
  <c r="H38" i="5" a="1"/>
  <c r="H20" i="5" a="1"/>
  <c r="K8" i="5" a="1"/>
  <c r="K45" i="5" a="1"/>
  <c r="K33" i="5" a="1"/>
  <c r="K31" i="5" a="1"/>
  <c r="K61" i="5" a="1"/>
  <c r="K51" i="5" a="1"/>
  <c r="K48" i="5" a="1"/>
  <c r="K16" i="5" a="1"/>
  <c r="K29" i="5" a="1"/>
  <c r="K62" i="5" a="1"/>
  <c r="K30" i="5" a="1"/>
  <c r="K23" i="5" a="1"/>
  <c r="K56" i="5" a="1"/>
  <c r="K21" i="5" a="1"/>
  <c r="K6" i="5" a="1"/>
  <c r="K17" i="5" a="1"/>
  <c r="K2" i="5" a="1"/>
  <c r="K4" i="5" a="1"/>
  <c r="K43" i="5" a="1"/>
  <c r="K70" i="5" a="1"/>
  <c r="K3" i="5" a="1"/>
  <c r="K69" i="5" a="1"/>
  <c r="K39" i="5" a="1"/>
  <c r="K38" i="5" a="1"/>
  <c r="K20" i="5" a="1"/>
  <c r="H8" i="5" a="1"/>
  <c r="H65" i="5" a="1"/>
  <c r="H68" i="5" a="1"/>
  <c r="H18" i="5" a="1"/>
  <c r="H67" i="5" a="1"/>
  <c r="H64" i="5" a="1"/>
  <c r="H32" i="5" a="1"/>
  <c r="H49" i="5" a="1"/>
  <c r="H46" i="5" a="1"/>
  <c r="H53" i="5" a="1"/>
  <c r="H54" i="5" a="1"/>
  <c r="H34" i="5" a="1"/>
  <c r="H7" i="5" a="1"/>
  <c r="H22" i="5" a="1"/>
  <c r="H50" i="5" a="1"/>
  <c r="H55" i="5" a="1"/>
  <c r="H19" i="5" a="1"/>
  <c r="H15" i="5" a="1"/>
  <c r="H13" i="5" a="1"/>
  <c r="H14" i="5" a="1"/>
  <c r="H24" i="5" a="1"/>
  <c r="H52" i="5" a="1"/>
  <c r="H44" i="5" a="1"/>
  <c r="H40" i="5" a="1"/>
  <c r="H36" i="5" a="1"/>
  <c r="H37" i="5" a="1"/>
  <c r="H66" i="5" a="1"/>
  <c r="K19" i="5" a="1"/>
  <c r="K66" i="5" l="1"/>
  <c r="H66" i="5"/>
  <c r="K20" i="5"/>
  <c r="H20" i="5"/>
  <c r="C21" i="4" s="1"/>
  <c r="K55" i="5"/>
  <c r="H55" i="5"/>
  <c r="K38" i="5"/>
  <c r="H38" i="5"/>
  <c r="I38" i="5" s="1"/>
  <c r="K37" i="5"/>
  <c r="H37" i="5"/>
  <c r="K39" i="5"/>
  <c r="L39" i="5" s="1"/>
  <c r="H39" i="5"/>
  <c r="I39" i="5" s="1"/>
  <c r="K50" i="5"/>
  <c r="H50" i="5"/>
  <c r="K69" i="5"/>
  <c r="L69" i="5" s="1"/>
  <c r="H69" i="5"/>
  <c r="I69" i="5" s="1"/>
  <c r="K36" i="5"/>
  <c r="H36" i="5"/>
  <c r="K3" i="5"/>
  <c r="H3" i="5"/>
  <c r="K22" i="5"/>
  <c r="H22" i="5"/>
  <c r="K70" i="5"/>
  <c r="L70" i="5" s="1"/>
  <c r="H70" i="5"/>
  <c r="C69" i="4" s="1"/>
  <c r="K40" i="5"/>
  <c r="H40" i="5"/>
  <c r="K43" i="5"/>
  <c r="L43" i="5" s="1"/>
  <c r="H43" i="5"/>
  <c r="I43" i="5" s="1"/>
  <c r="K7" i="5"/>
  <c r="L7" i="5" s="1"/>
  <c r="H7" i="5"/>
  <c r="K4" i="5"/>
  <c r="H4" i="5"/>
  <c r="I4" i="5" s="1"/>
  <c r="K44" i="5"/>
  <c r="H44" i="5"/>
  <c r="K2" i="5"/>
  <c r="H2" i="5"/>
  <c r="I2" i="5" s="1"/>
  <c r="K34" i="5"/>
  <c r="H34" i="5"/>
  <c r="K17" i="5"/>
  <c r="L17" i="5" s="1"/>
  <c r="H17" i="5"/>
  <c r="I17" i="5" s="1"/>
  <c r="K52" i="5"/>
  <c r="H52" i="5"/>
  <c r="K6" i="5"/>
  <c r="L6" i="5" s="1"/>
  <c r="H6" i="5"/>
  <c r="I6" i="5" s="1"/>
  <c r="K54" i="5"/>
  <c r="H54" i="5"/>
  <c r="K21" i="5"/>
  <c r="H21" i="5"/>
  <c r="I21" i="5" s="1"/>
  <c r="K24" i="5"/>
  <c r="H24" i="5"/>
  <c r="K56" i="5"/>
  <c r="H56" i="5"/>
  <c r="I56" i="5" s="1"/>
  <c r="K53" i="5"/>
  <c r="H53" i="5"/>
  <c r="I53" i="5" s="1"/>
  <c r="K23" i="5"/>
  <c r="L23" i="5" s="1"/>
  <c r="H23" i="5"/>
  <c r="I23" i="5" s="1"/>
  <c r="K14" i="5"/>
  <c r="L14" i="5" s="1"/>
  <c r="H14" i="5"/>
  <c r="K30" i="5"/>
  <c r="L30" i="5" s="1"/>
  <c r="H30" i="5"/>
  <c r="I30" i="5" s="1"/>
  <c r="K46" i="5"/>
  <c r="H46" i="5"/>
  <c r="K62" i="5"/>
  <c r="H62" i="5"/>
  <c r="I62" i="5" s="1"/>
  <c r="K13" i="5"/>
  <c r="H13" i="5"/>
  <c r="K29" i="5"/>
  <c r="H29" i="5"/>
  <c r="I29" i="5" s="1"/>
  <c r="K49" i="5"/>
  <c r="H49" i="5"/>
  <c r="K16" i="5"/>
  <c r="H16" i="5"/>
  <c r="I16" i="5" s="1"/>
  <c r="K32" i="5"/>
  <c r="H32" i="5"/>
  <c r="K48" i="5"/>
  <c r="L48" i="5" s="1"/>
  <c r="H48" i="5"/>
  <c r="C48" i="4" s="1"/>
  <c r="K64" i="5"/>
  <c r="H64" i="5"/>
  <c r="K51" i="5"/>
  <c r="H51" i="5"/>
  <c r="I51" i="5" s="1"/>
  <c r="K67" i="5"/>
  <c r="H67" i="5"/>
  <c r="K61" i="5"/>
  <c r="L61" i="5" s="1"/>
  <c r="H61" i="5"/>
  <c r="C60" i="4" s="1"/>
  <c r="K15" i="5"/>
  <c r="H15" i="5"/>
  <c r="K31" i="5"/>
  <c r="H31" i="5"/>
  <c r="I31" i="5" s="1"/>
  <c r="K18" i="5"/>
  <c r="H18" i="5"/>
  <c r="I18" i="5" s="1"/>
  <c r="K33" i="5"/>
  <c r="L33" i="5" s="1"/>
  <c r="H33" i="5"/>
  <c r="K68" i="5"/>
  <c r="H68" i="5"/>
  <c r="K45" i="5"/>
  <c r="H45" i="5"/>
  <c r="I45" i="5" s="1"/>
  <c r="K65" i="5"/>
  <c r="H65" i="5"/>
  <c r="K19" i="5"/>
  <c r="L19" i="5" s="1"/>
  <c r="H19" i="5"/>
  <c r="I19" i="5" s="1"/>
  <c r="K35" i="5"/>
  <c r="H35" i="5"/>
  <c r="L16" i="5"/>
  <c r="L32" i="5"/>
  <c r="L64" i="5"/>
  <c r="L4" i="5"/>
  <c r="L20" i="5"/>
  <c r="L36" i="5"/>
  <c r="L40" i="5"/>
  <c r="L52" i="5"/>
  <c r="L56" i="5"/>
  <c r="L13" i="5"/>
  <c r="L21" i="5"/>
  <c r="L29" i="5"/>
  <c r="L37" i="5"/>
  <c r="L45" i="5"/>
  <c r="L49" i="5"/>
  <c r="L53" i="5"/>
  <c r="L65" i="5"/>
  <c r="L24" i="5"/>
  <c r="L44" i="5"/>
  <c r="K8" i="5"/>
  <c r="L8" i="5" s="1"/>
  <c r="H8" i="5"/>
  <c r="I3" i="5"/>
  <c r="I22" i="5"/>
  <c r="I54" i="5"/>
  <c r="I70" i="5"/>
  <c r="I37" i="5"/>
  <c r="I8" i="5"/>
  <c r="I24" i="5"/>
  <c r="I40" i="5"/>
  <c r="L68" i="5"/>
  <c r="I14" i="5"/>
  <c r="I46" i="5"/>
  <c r="I13" i="5"/>
  <c r="I49" i="5"/>
  <c r="I32" i="5"/>
  <c r="I64" i="5"/>
  <c r="I67" i="5"/>
  <c r="I15" i="5"/>
  <c r="L2" i="5"/>
  <c r="L18" i="5"/>
  <c r="L22" i="5"/>
  <c r="L34" i="5"/>
  <c r="L38" i="5"/>
  <c r="L46" i="5"/>
  <c r="L50" i="5"/>
  <c r="L54" i="5"/>
  <c r="L62" i="5"/>
  <c r="L66" i="5"/>
  <c r="I34" i="5"/>
  <c r="I50" i="5"/>
  <c r="I66" i="5"/>
  <c r="I33" i="5"/>
  <c r="I36" i="5"/>
  <c r="I52" i="5"/>
  <c r="I68" i="5"/>
  <c r="I55" i="5"/>
  <c r="I65" i="5"/>
  <c r="I35" i="5"/>
  <c r="L3" i="5"/>
  <c r="L15" i="5"/>
  <c r="L31" i="5"/>
  <c r="L35" i="5"/>
  <c r="L51" i="5"/>
  <c r="L55" i="5"/>
  <c r="L67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4" i="5"/>
  <c r="C33" i="4"/>
  <c r="C50" i="4"/>
  <c r="C15" i="4"/>
  <c r="C30" i="4"/>
  <c r="C40" i="4"/>
  <c r="C64" i="4"/>
  <c r="C66" i="4"/>
  <c r="I7" i="5"/>
  <c r="C44" i="4"/>
  <c r="C38" i="4"/>
  <c r="C34" i="4"/>
  <c r="C23" i="4"/>
  <c r="C24" i="4"/>
  <c r="C8" i="4"/>
  <c r="H9" i="5" a="1"/>
  <c r="H26" i="5" a="1"/>
  <c r="H58" i="5" a="1"/>
  <c r="H41" i="5" a="1"/>
  <c r="H28" i="5" a="1"/>
  <c r="H47" i="5" a="1"/>
  <c r="H57" i="5" a="1"/>
  <c r="H27" i="5" a="1"/>
  <c r="K41" i="5" a="1"/>
  <c r="K42" i="5" a="1"/>
  <c r="K60" i="5" a="1"/>
  <c r="K11" i="5" a="1"/>
  <c r="H10" i="5" a="1"/>
  <c r="K26" i="5" a="1"/>
  <c r="K58" i="5" a="1"/>
  <c r="K28" i="5" a="1"/>
  <c r="K47" i="5" a="1"/>
  <c r="K57" i="5" a="1"/>
  <c r="K27" i="5" a="1"/>
  <c r="K10" i="5" a="1"/>
  <c r="K59" i="5" a="1"/>
  <c r="K12" i="5" a="1"/>
  <c r="K63" i="5" a="1"/>
  <c r="K5" i="5" a="1"/>
  <c r="K9" i="5" a="1"/>
  <c r="H59" i="5" a="1"/>
  <c r="H42" i="5" a="1"/>
  <c r="H25" i="5" a="1"/>
  <c r="H12" i="5" a="1"/>
  <c r="H60" i="5" a="1"/>
  <c r="H63" i="5" a="1"/>
  <c r="H11" i="5" a="1"/>
  <c r="H5" i="5" a="1"/>
  <c r="K25" i="5" a="1"/>
  <c r="C4" i="4" l="1"/>
  <c r="C2" i="4"/>
  <c r="C22" i="4"/>
  <c r="C39" i="4"/>
  <c r="C29" i="4"/>
  <c r="C61" i="4"/>
  <c r="I61" i="5"/>
  <c r="I48" i="5"/>
  <c r="C20" i="4"/>
  <c r="C56" i="4"/>
  <c r="C51" i="4"/>
  <c r="I20" i="5"/>
  <c r="C16" i="4"/>
  <c r="C31" i="4"/>
  <c r="C6" i="4"/>
  <c r="K5" i="5"/>
  <c r="L5" i="5" s="1"/>
  <c r="H5" i="5"/>
  <c r="K27" i="5"/>
  <c r="L27" i="5" s="1"/>
  <c r="H27" i="5"/>
  <c r="K11" i="5"/>
  <c r="L11" i="5" s="1"/>
  <c r="H11" i="5"/>
  <c r="K57" i="5"/>
  <c r="L57" i="5" s="1"/>
  <c r="H57" i="5"/>
  <c r="K63" i="5"/>
  <c r="L63" i="5" s="1"/>
  <c r="H63" i="5"/>
  <c r="K47" i="5"/>
  <c r="L47" i="5" s="1"/>
  <c r="H47" i="5"/>
  <c r="K60" i="5"/>
  <c r="L60" i="5" s="1"/>
  <c r="H60" i="5"/>
  <c r="I60" i="5" s="1"/>
  <c r="K28" i="5"/>
  <c r="L28" i="5" s="1"/>
  <c r="H28" i="5"/>
  <c r="K12" i="5"/>
  <c r="L12" i="5" s="1"/>
  <c r="H12" i="5"/>
  <c r="K41" i="5"/>
  <c r="L41" i="5" s="1"/>
  <c r="H41" i="5"/>
  <c r="K25" i="5"/>
  <c r="L25" i="5" s="1"/>
  <c r="H25" i="5"/>
  <c r="K58" i="5"/>
  <c r="L58" i="5" s="1"/>
  <c r="H58" i="5"/>
  <c r="K42" i="5"/>
  <c r="L42" i="5" s="1"/>
  <c r="H42" i="5"/>
  <c r="K26" i="5"/>
  <c r="L26" i="5" s="1"/>
  <c r="H26" i="5"/>
  <c r="K59" i="5"/>
  <c r="L59" i="5" s="1"/>
  <c r="H59" i="5"/>
  <c r="K10" i="5"/>
  <c r="L10" i="5" s="1"/>
  <c r="K9" i="5"/>
  <c r="L9" i="5" s="1"/>
  <c r="H10" i="5"/>
  <c r="H9" i="5"/>
  <c r="C36" i="4"/>
  <c r="C45" i="4"/>
  <c r="C63" i="4"/>
  <c r="C18" i="4"/>
  <c r="C49" i="4"/>
  <c r="C7" i="4"/>
  <c r="C26" i="4" l="1"/>
  <c r="I26" i="5"/>
  <c r="C59" i="4"/>
  <c r="I59" i="5"/>
  <c r="I42" i="5"/>
  <c r="C42" i="4"/>
  <c r="I25" i="5"/>
  <c r="C25" i="4"/>
  <c r="I12" i="5"/>
  <c r="C12" i="4"/>
  <c r="I63" i="5"/>
  <c r="C62" i="4"/>
  <c r="I11" i="5"/>
  <c r="C11" i="4"/>
  <c r="I5" i="5"/>
  <c r="C5" i="4"/>
  <c r="I58" i="5"/>
  <c r="C58" i="4"/>
  <c r="C41" i="4"/>
  <c r="I41" i="5"/>
  <c r="C28" i="4"/>
  <c r="I28" i="5"/>
  <c r="I47" i="5"/>
  <c r="C47" i="4"/>
  <c r="C57" i="4"/>
  <c r="I57" i="5"/>
  <c r="C27" i="4"/>
  <c r="I27" i="5"/>
  <c r="C9" i="4"/>
  <c r="I9" i="5"/>
  <c r="I10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<sst xmlns="http://schemas.openxmlformats.org/spreadsheetml/2006/main" count="1771" uniqueCount="620">
  <si>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</si>
  <si>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</si>
  <si>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</si>
  <si>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</si>
  <si>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</si>
  <si>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</si>
  <si>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</si>
  <si>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</si>
  <si>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</si>
  <si>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</si>
  <si>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</si>
  <si>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</si>
  <si>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</si>
  <si>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</si>
  <si>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</si>
  <si>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</si>
  <si>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</si>
  <si>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</si>
  <si>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</si>
  <si>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</si>
  <si>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</si>
  <si>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</si>
  <si>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</si>
  <si>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</si>
  <si>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</si>
  <si>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</si>
  <si>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</si>
  <si>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</si>
  <si>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</si>
  <si>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</si>
  <si>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</si>
  <si>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</si>
  <si>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</si>
  <si>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</si>
  <si>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</si>
  <si>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</si>
  <si>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</si>
  <si>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</si>
  <si>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</si>
  <si>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</si>
  <si>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</si>
  <si>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</si>
  <si>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</si>
  <si>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</si>
  <si>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</si>
  <si>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</si>
  <si>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</si>
  <si>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</si>
  <si>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</si>
  <si>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</si>
  <si>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</si>
  <si>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</si>
  <si>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</si>
  <si>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</si>
  <si>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</si>
  <si>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</si>
  <si>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</si>
  <si>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</si>
  <si>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</si>
  <si>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</si>
  <si>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</si>
  <si>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</si>
  <si>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</si>
  <si>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</si>
  <si>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</si>
  <si>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</si>
  <si>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</si>
  <si>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</si>
  <si>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</si>
  <si>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</si>
  <si>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</si>
  <si>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</si>
  <si>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</si>
  <si>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</si>
  <si>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</si>
  <si>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</si>
  <si>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</si>
  <si>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</si>
  <si>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</si>
  <si>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</si>
  <si>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</si>
  <si>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</si>
  <si>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</si>
  <si>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</si>
  <si>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</si>
  <si>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</si>
  <si>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</si>
  <si>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</si>
  <si>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</si>
  <si>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</si>
  <si>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</si>
  <si>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</si>
  <si>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</si>
  <si>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</si>
  <si>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</si>
  <si>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</si>
  <si>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</si>
  <si>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</si>
  <si>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</si>
  <si>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</si>
  <si>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</si>
  <si>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</si>
  <si>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</si>
  <si>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</si>
  <si>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</si>
  <si>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</si>
  <si>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</si>
  <si>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</si>
  <si>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</si>
  <si>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</si>
  <si>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</si>
  <si>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</si>
  <si>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</si>
  <si>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</si>
  <si>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</si>
  <si>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</si>
  <si>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</si>
  <si>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</si>
  <si>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</si>
  <si>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</si>
  <si>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</si>
  <si>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</si>
  <si>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</si>
  <si>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</si>
  <si>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</si>
  <si>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</si>
  <si>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</si>
  <si>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</si>
  <si>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</si>
  <si>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</si>
  <si>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</si>
  <si>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</si>
  <si>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</si>
  <si>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</si>
  <si>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</si>
  <si>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</si>
  <si>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</si>
  <si>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</si>
  <si>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</si>
  <si>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</si>
  <si>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</si>
  <si>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</si>
  <si>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</si>
  <si>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</si>
  <si>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</si>
  <si>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</si>
  <si>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</si>
  <si>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</si>
  <si>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</si>
  <si>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</si>
  <si>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</si>
  <si>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</si>
  <si>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</si>
  <si>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</si>
  <si>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</si>
  <si>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</si>
  <si>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</si>
  <si>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</si>
  <si>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</si>
  <si>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</si>
  <si>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</si>
  <si>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</si>
  <si>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</si>
  <si>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</si>
  <si>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</si>
  <si>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</si>
  <si>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</si>
  <si>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</si>
  <si>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</si>
  <si>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</si>
  <si>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</si>
  <si>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</si>
  <si>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</si>
  <si>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</si>
  <si>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</si>
  <si>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</si>
  <si>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</si>
  <si>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</si>
  <si>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</si>
  <si>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</si>
  <si>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</si>
  <si>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</si>
  <si>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</si>
  <si>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</si>
  <si>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</si>
  <si>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</si>
  <si>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</si>
  <si>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</si>
  <si>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</si>
  <si>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</si>
  <si>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</si>
  <si>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</si>
  <si>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</si>
  <si>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</si>
  <si>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</si>
  <si>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</si>
  <si>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</si>
  <si>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</si>
  <si>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</si>
  <si>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</si>
  <si>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</si>
  <si>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</si>
  <si>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</si>
  <si>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</si>
  <si>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</si>
  <si>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</si>
  <si>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</si>
  <si>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</si>
  <si>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</si>
  <si>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</si>
  <si>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</si>
  <si>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</si>
  <si>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</si>
  <si>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</si>
  <si>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</si>
  <si>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</si>
  <si>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</si>
  <si>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</si>
  <si>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</si>
  <si>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</si>
  <si>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</si>
  <si>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</si>
  <si>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</si>
  <si>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</si>
  <si>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</si>
  <si>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</si>
  <si>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</si>
  <si>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</si>
  <si>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</si>
  <si>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</si>
  <si>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</si>
  <si>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</si>
  <si>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</si>
  <si>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</si>
  <si>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</si>
  <si>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</si>
  <si>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</si>
  <si>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</si>
  <si>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</si>
  <si>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</si>
  <si>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</si>
  <si>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</si>
  <si>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</si>
  <si>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</si>
  <si>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</si>
  <si>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</si>
  <si>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</si>
  <si>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</si>
  <si>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</si>
  <si>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</si>
  <si>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</si>
  <si>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</si>
  <si>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</si>
  <si>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</si>
  <si>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</si>
  <si>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</si>
  <si>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</si>
  <si>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</si>
  <si>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</si>
  <si>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</si>
  <si>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</si>
  <si>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</si>
  <si>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</si>
  <si>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</si>
  <si>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</si>
  <si>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</si>
  <si>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</si>
  <si>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</si>
  <si>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</si>
  <si>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</si>
  <si>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</si>
  <si>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</si>
  <si>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</si>
  <si>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</si>
  <si>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</si>
  <si>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</si>
  <si>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</si>
  <si>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</si>
  <si>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</si>
  <si>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</si>
  <si>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</si>
  <si>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</si>
  <si>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</si>
  <si>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</si>
  <si>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</si>
  <si>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</si>
  <si>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</si>
  <si>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</si>
  <si>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</si>
  <si>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</si>
  <si>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</si>
  <si>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</si>
  <si>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</si>
  <si>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</si>
  <si>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</si>
  <si>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</si>
  <si>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</si>
  <si>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</si>
  <si>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</si>
  <si>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</si>
  <si>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</si>
  <si>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</si>
  <si>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</si>
  <si>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</si>
  <si>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</si>
  <si>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</si>
  <si>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</si>
  <si>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</si>
  <si>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</si>
  <si>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</si>
  <si>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</si>
  <si>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</si>
  <si>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</si>
  <si>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</si>
  <si>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</si>
  <si>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</si>
  <si>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</si>
  <si>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</si>
  <si>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New Operator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</si>
  <si>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</si>
  <si>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</si>
  <si>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</si>
  <si>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</si>
  <si>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</si>
  <si>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</si>
  <si>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</si>
  <si>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</si>
  <si>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</si>
  <si>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</si>
  <si>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</si>
  <si>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</si>
  <si>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</si>
  <si>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</si>
  <si>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</si>
  <si>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</si>
  <si>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</si>
  <si>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</si>
  <si>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</si>
  <si>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</si>
  <si>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</si>
  <si>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</si>
  <si>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</si>
  <si>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</si>
  <si>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</si>
  <si>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</si>
  <si>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</si>
  <si>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</si>
  <si>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</si>
  <si>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</si>
  <si>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</si>
  <si>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</si>
  <si>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</si>
  <si>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</si>
  <si>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</si>
  <si>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</si>
  <si>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</si>
  <si>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</si>
  <si>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</si>
  <si>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</si>
  <si>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</si>
  <si>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</si>
  <si>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</si>
  <si>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</si>
  <si>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</si>
  <si>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</si>
  <si>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</si>
  <si>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</si>
  <si>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</si>
  <si>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</si>
  <si>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</si>
  <si>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</si>
  <si>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</si>
  <si>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</si>
  <si>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</si>
  <si>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</si>
  <si>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check if its actually dysons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</si>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</sst>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88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3</xdr:row>
          <xdr:rowOff>50800</xdr:rowOff>
        </xdr:from>
        <xdr:to>
          <xdr:col>15</xdr:col>
          <xdr:colOff>254000</xdr:colOff>
          <xdr:row>5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topLeftCell="A162" workbookViewId="0">
      <selection activeCell="B170" sqref="B170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D232"/>
  <sheetViews>
    <sheetView topLeftCell="A111" workbookViewId="0">
      <selection activeCell="C122" sqref="C122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4" x14ac:dyDescent="0.2">
      <c r="A113" s="3" t="s">
        <v>41</v>
      </c>
      <c r="B113" s="4">
        <v>14</v>
      </c>
      <c r="C113" s="3" t="s">
        <v>42</v>
      </c>
    </row>
    <row r="114" spans="1:4" x14ac:dyDescent="0.2">
      <c r="A114" s="3" t="s">
        <v>43</v>
      </c>
      <c r="B114" s="4">
        <v>1</v>
      </c>
      <c r="C114" s="3" t="s">
        <v>42</v>
      </c>
    </row>
    <row r="115" spans="1:4" x14ac:dyDescent="0.2">
      <c r="A115" s="3" t="s">
        <v>43</v>
      </c>
      <c r="B115" s="4">
        <v>2</v>
      </c>
      <c r="C115" s="3" t="s">
        <v>42</v>
      </c>
    </row>
    <row r="116" spans="1:4" x14ac:dyDescent="0.2">
      <c r="A116" s="3" t="s">
        <v>43</v>
      </c>
      <c r="B116" s="4">
        <v>3</v>
      </c>
      <c r="C116" s="3" t="s">
        <v>42</v>
      </c>
    </row>
    <row r="117" spans="1:4" x14ac:dyDescent="0.2">
      <c r="A117" s="3" t="s">
        <v>43</v>
      </c>
      <c r="B117" s="4">
        <v>13</v>
      </c>
      <c r="C117" s="3" t="s">
        <v>44</v>
      </c>
    </row>
    <row r="118" spans="1:4" x14ac:dyDescent="0.2">
      <c r="A118" s="3" t="s">
        <v>45</v>
      </c>
      <c r="B118" s="4">
        <v>1</v>
      </c>
      <c r="C118" s="3" t="s">
        <v>42</v>
      </c>
    </row>
    <row r="119" spans="1:4" x14ac:dyDescent="0.2">
      <c r="A119" s="3" t="s">
        <v>45</v>
      </c>
      <c r="B119" s="4">
        <v>2</v>
      </c>
      <c r="C119" s="3" t="s">
        <v>42</v>
      </c>
    </row>
    <row r="120" spans="1:4" x14ac:dyDescent="0.2">
      <c r="A120" s="3" t="s">
        <v>45</v>
      </c>
      <c r="B120" s="4">
        <v>3</v>
      </c>
      <c r="C120" s="3" t="s">
        <v>42</v>
      </c>
    </row>
    <row r="121" spans="1:4" x14ac:dyDescent="0.2">
      <c r="A121" s="3" t="s">
        <v>46</v>
      </c>
      <c r="B121" s="4">
        <v>1</v>
      </c>
      <c r="C121" s="3" t="s">
        <v>47</v>
      </c>
      <c r="D121" t="s">
        <v>375</v>
      </c>
    </row>
    <row r="122" spans="1:4" x14ac:dyDescent="0.2">
      <c r="A122" s="3" t="s">
        <v>46</v>
      </c>
      <c r="B122" s="4">
        <v>2</v>
      </c>
      <c r="C122" s="3" t="s">
        <v>47</v>
      </c>
      <c r="D122" t="s">
        <v>375</v>
      </c>
    </row>
    <row r="123" spans="1:4" x14ac:dyDescent="0.2">
      <c r="A123" s="3" t="s">
        <v>46</v>
      </c>
      <c r="B123" s="4">
        <v>3</v>
      </c>
      <c r="C123" s="3" t="s">
        <v>47</v>
      </c>
    </row>
    <row r="124" spans="1:4" x14ac:dyDescent="0.2">
      <c r="A124" s="3" t="s">
        <v>46</v>
      </c>
      <c r="B124" s="4">
        <v>4</v>
      </c>
      <c r="C124" s="3" t="s">
        <v>47</v>
      </c>
    </row>
    <row r="125" spans="1:4" x14ac:dyDescent="0.2">
      <c r="A125" s="3" t="s">
        <v>46</v>
      </c>
      <c r="B125" s="4">
        <v>5</v>
      </c>
      <c r="C125" s="3" t="s">
        <v>47</v>
      </c>
    </row>
    <row r="126" spans="1:4" x14ac:dyDescent="0.2">
      <c r="A126" s="3" t="s">
        <v>46</v>
      </c>
      <c r="B126" s="4">
        <v>6</v>
      </c>
      <c r="C126" s="3" t="s">
        <v>47</v>
      </c>
    </row>
    <row r="127" spans="1:4" x14ac:dyDescent="0.2">
      <c r="A127" s="3" t="s">
        <v>46</v>
      </c>
      <c r="B127" s="4">
        <v>7</v>
      </c>
      <c r="C127" s="3" t="s">
        <v>47</v>
      </c>
    </row>
    <row r="128" spans="1:4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320</v>
      </c>
    </row>
    <row r="187" spans="1:3" x14ac:dyDescent="0.2">
      <c r="A187" s="3" t="s">
        <v>70</v>
      </c>
      <c r="B187" s="4">
        <v>402</v>
      </c>
      <c r="C187" s="3" t="s">
        <v>320</v>
      </c>
    </row>
    <row r="188" spans="1:3" x14ac:dyDescent="0.2">
      <c r="A188" s="3" t="s">
        <v>70</v>
      </c>
      <c r="B188" s="4">
        <v>403</v>
      </c>
      <c r="C188" s="3" t="s">
        <v>320</v>
      </c>
    </row>
    <row r="189" spans="1:3" x14ac:dyDescent="0.2">
      <c r="A189" s="3" t="s">
        <v>70</v>
      </c>
      <c r="B189" s="4">
        <v>404</v>
      </c>
      <c r="C189" s="3" t="s">
        <v>320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abSelected="1" topLeftCell="A38" zoomScale="137" workbookViewId="0">
      <selection activeCell="E56" sqref="E56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318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334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47</v>
      </c>
      <c r="E7" t="s">
        <v>280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321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319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323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324</v>
      </c>
      <c r="E34" t="s">
        <v>491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325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487</v>
      </c>
      <c r="E40" t="s">
        <v>326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322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280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329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617</v>
      </c>
      <c r="E60" t="s">
        <v>332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331</v>
      </c>
      <c r="D62" t="s">
        <v>330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334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335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327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328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339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336</v>
      </c>
      <c r="C100" t="s">
        <v>337</v>
      </c>
      <c r="D100" t="s">
        <v>287</v>
      </c>
      <c r="E100" t="s">
        <v>280</v>
      </c>
    </row>
    <row r="101" spans="1:5" x14ac:dyDescent="0.2">
      <c r="A101" t="s">
        <v>336</v>
      </c>
      <c r="C101" t="s">
        <v>338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0"/>
  <sheetViews>
    <sheetView topLeftCell="A8" zoomScale="125" workbookViewId="0">
      <selection activeCell="B17" sqref="B17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341</v>
      </c>
      <c r="C1" s="9" t="s">
        <v>342</v>
      </c>
      <c r="D1" s="9" t="s">
        <v>509</v>
      </c>
      <c r="E1" s="10" t="s">
        <v>510</v>
      </c>
      <c r="F1" s="10" t="s">
        <v>511</v>
      </c>
      <c r="G1" s="11" t="s">
        <v>572</v>
      </c>
      <c r="H1" s="11" t="s">
        <v>573</v>
      </c>
      <c r="I1" s="12" t="s">
        <v>575</v>
      </c>
      <c r="J1" s="9" t="s">
        <v>576</v>
      </c>
      <c r="K1" s="9" t="s">
        <v>577</v>
      </c>
      <c r="L1" s="9" t="s">
        <v>575</v>
      </c>
      <c r="M1" s="103" t="s">
        <v>592</v>
      </c>
      <c r="N1" s="9" t="s">
        <v>590</v>
      </c>
      <c r="O1" s="9" cm="1">
        <f t="array" ref="O1">RelLuminance("F9F9F9")</f>
        <v>0.94730653673319976</v>
      </c>
    </row>
    <row r="2" spans="1:15" x14ac:dyDescent="0.2">
      <c r="A2" s="13" t="s">
        <v>64</v>
      </c>
      <c r="B2" s="9" t="s">
        <v>386</v>
      </c>
      <c r="C2" s="9" t="s">
        <v>387</v>
      </c>
      <c r="D2" s="9" t="s">
        <v>388</v>
      </c>
      <c r="E2" s="14" t="s">
        <v>512</v>
      </c>
      <c r="F2" s="15" t="s">
        <v>513</v>
      </c>
      <c r="G2" s="11" cm="1">
        <f t="array" ref="G2">RelLuminance(E2)</f>
        <v>6.5655916809382139E-2</v>
      </c>
      <c r="H2" s="11" cm="1">
        <f t="array" ref="H2">MAX((RelLuminance($M2)+0.05),(G2+0.05))/MIN((RelLuminance($M2)+0.05),(G2+0.05))</f>
        <v>8.6230481262528649</v>
      </c>
      <c r="I2" s="12" t="b">
        <f>H2&gt;=4.5</f>
        <v>1</v>
      </c>
      <c r="J2" s="11" cm="1">
        <f t="array" ref="J2">RelLuminance(F2)</f>
        <v>3.0233530414771267E-2</v>
      </c>
      <c r="K2" s="11" cm="1">
        <f t="array" ref="K2">MAX((RelLuminance($M2)+0.05),(J2+0.05))/MIN((RelLuminance($M2)+0.05),(J2+0.05))</f>
        <v>12.430046784400156</v>
      </c>
      <c r="L2" s="12" t="b">
        <f>K2&gt;=4.5</f>
        <v>1</v>
      </c>
      <c r="M2" s="103" t="str">
        <f>IF(G2&gt;0.25,"1E1E1E","F9F9F9")</f>
        <v>F9F9F9</v>
      </c>
      <c r="N2" s="9" t="s">
        <v>589</v>
      </c>
      <c r="O2" s="9" cm="1">
        <f t="array" ref="O2">RelLuminance("3E3E3E")</f>
        <v>4.8171824226889419E-2</v>
      </c>
    </row>
    <row r="3" spans="1:15" x14ac:dyDescent="0.2">
      <c r="A3" s="13" t="s">
        <v>9</v>
      </c>
      <c r="B3" s="9" t="s">
        <v>392</v>
      </c>
      <c r="C3" s="9" t="s">
        <v>393</v>
      </c>
      <c r="D3" s="9" t="s">
        <v>394</v>
      </c>
      <c r="E3" s="16" t="s">
        <v>514</v>
      </c>
      <c r="F3" s="17" t="s">
        <v>515</v>
      </c>
      <c r="G3" s="11" cm="1">
        <f t="array" ref="G3">RelLuminance(E3)</f>
        <v>0.12067469588344951</v>
      </c>
      <c r="H3" s="11" cm="1">
        <f t="array" ref="H3">MAX((RelLuminance(M3)+0.05),(G3+0.05))/MIN((RelLuminance(M3)+0.05),(G3+0.05))</f>
        <v>5.8433180828061433</v>
      </c>
      <c r="I3" s="12" t="b">
        <f t="shared" ref="I3:I66" si="0">H3&gt;=4.5</f>
        <v>1</v>
      </c>
      <c r="J3" s="11" cm="1">
        <f t="array" ref="J3">RelLuminance(F3)</f>
        <v>4.9975094086858345E-2</v>
      </c>
      <c r="K3" s="11" cm="1">
        <f t="array" ref="K3">MAX((RelLuminance($M3)+0.05),(J3+0.05))/MIN((RelLuminance($M3)+0.05),(J3+0.05))</f>
        <v>9.9755498691178026</v>
      </c>
      <c r="L3" s="12" t="b">
        <f t="shared" ref="L3:L66" si="1">K3&gt;=4.5</f>
        <v>1</v>
      </c>
      <c r="M3" s="103" t="str">
        <f t="shared" ref="M3:M6" si="2">IF(G3&gt;0.25,"1E1E1E","F9F9F9")</f>
        <v>F9F9F9</v>
      </c>
      <c r="N3" s="9"/>
      <c r="O3" s="9"/>
    </row>
    <row r="4" spans="1:15" x14ac:dyDescent="0.2">
      <c r="A4" s="13" t="s">
        <v>287</v>
      </c>
      <c r="B4" s="9" t="s">
        <v>390</v>
      </c>
      <c r="C4" s="9" t="s">
        <v>389</v>
      </c>
      <c r="D4" s="9" t="s">
        <v>391</v>
      </c>
      <c r="E4" s="18" t="s">
        <v>516</v>
      </c>
      <c r="F4" s="19">
        <v>232370</v>
      </c>
      <c r="G4" s="11" cm="1">
        <f t="array" ref="G4">RelLuminance(E4)</f>
        <v>4.518002519349347E-2</v>
      </c>
      <c r="H4" s="11" cm="1">
        <f t="array" ref="H4">MAX((RelLuminance(M4)+0.05),(G4+0.05))/MIN((RelLuminance(M4)+0.05),(G4+0.05))</f>
        <v>10.478107509487987</v>
      </c>
      <c r="I4" s="12" t="b">
        <f t="shared" si="0"/>
        <v>1</v>
      </c>
      <c r="J4" s="11" cm="1">
        <f t="array" ref="J4">RelLuminance(F4)</f>
        <v>2.7292404144672731E-2</v>
      </c>
      <c r="K4" s="11" cm="1">
        <f t="array" ref="K4">MAX((RelLuminance($M4)+0.05),(J4+0.05))/MIN((RelLuminance($M4)+0.05),(J4+0.05))</f>
        <v>12.903034234340579</v>
      </c>
      <c r="L4" s="12" t="b">
        <f t="shared" si="1"/>
        <v>1</v>
      </c>
      <c r="M4" s="103" t="str">
        <f t="shared" si="2"/>
        <v>F9F9F9</v>
      </c>
      <c r="N4" s="9"/>
      <c r="O4" s="9"/>
    </row>
    <row r="5" spans="1:15" x14ac:dyDescent="0.2">
      <c r="A5" s="13" t="s">
        <v>321</v>
      </c>
      <c r="B5" s="9"/>
      <c r="C5" s="9"/>
      <c r="D5" s="9"/>
      <c r="E5" s="20" t="s">
        <v>548</v>
      </c>
      <c r="F5" s="21" t="s">
        <v>549</v>
      </c>
      <c r="G5" s="11" cm="1">
        <f t="array" ref="G5">RelLuminance(E5)</f>
        <v>0.13050971554809826</v>
      </c>
      <c r="H5" s="11" cm="1">
        <f t="array" ref="H5">MAX((RelLuminance(M5)+0.05),(G5+0.05))/MIN((RelLuminance(M5)+0.05),(G5+0.05))</f>
        <v>5.5249465864204943</v>
      </c>
      <c r="I5" s="12" t="b">
        <f t="shared" si="0"/>
        <v>1</v>
      </c>
      <c r="J5" s="11" cm="1">
        <f t="array" ref="J5">RelLuminance(F5)</f>
        <v>7.5532355781620819E-2</v>
      </c>
      <c r="K5" s="11" cm="1">
        <f t="array" ref="K5">MAX((RelLuminance($M5)+0.05),(J5+0.05))/MIN((RelLuminance($M5)+0.05),(J5+0.05))</f>
        <v>7.9446173898635255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239</v>
      </c>
      <c r="B6" s="9" t="s">
        <v>611</v>
      </c>
      <c r="C6" s="9" t="s">
        <v>612</v>
      </c>
      <c r="D6" s="9" t="s">
        <v>613</v>
      </c>
      <c r="E6" s="101" t="s">
        <v>614</v>
      </c>
      <c r="F6" s="102" t="s">
        <v>615</v>
      </c>
      <c r="G6" s="11" cm="1">
        <f t="array" ref="G6">RelLuminance(E6)</f>
        <v>0.53389777609043276</v>
      </c>
      <c r="H6" s="11" cm="1">
        <f t="array" ref="H6">MAX((RelLuminance(M6)+0.05),(G6+0.05))/MIN((RelLuminance(M6)+0.05),(G6+0.05))</f>
        <v>9.2707155304661111</v>
      </c>
      <c r="I6" s="12" t="b">
        <f t="shared" si="0"/>
        <v>1</v>
      </c>
      <c r="J6" s="11" cm="1">
        <f t="array" ref="J6">RelLuminance(F6)</f>
        <v>0.41333923775510384</v>
      </c>
      <c r="K6" s="11" cm="1">
        <f t="array" ref="K6">MAX((RelLuminance($M6)+0.05),(J6+0.05))/MIN((RelLuminance($M6)+0.05),(J6+0.05))</f>
        <v>7.3565724056898887</v>
      </c>
      <c r="L6" s="12" t="b">
        <f t="shared" si="1"/>
        <v>1</v>
      </c>
      <c r="M6" s="103" t="str">
        <f t="shared" si="2"/>
        <v>1E1E1E</v>
      </c>
      <c r="N6" s="22"/>
      <c r="O6" s="9"/>
    </row>
    <row r="7" spans="1:15" x14ac:dyDescent="0.2">
      <c r="A7" s="13" t="s">
        <v>19</v>
      </c>
      <c r="B7" s="9" t="s">
        <v>410</v>
      </c>
      <c r="C7" s="9" t="s">
        <v>403</v>
      </c>
      <c r="D7" s="9" t="s">
        <v>404</v>
      </c>
      <c r="E7" s="23" t="s">
        <v>591</v>
      </c>
      <c r="F7" s="24" t="s">
        <v>593</v>
      </c>
      <c r="G7" s="11" cm="1">
        <f t="array" ref="G7">RelLuminance(E7)</f>
        <v>0.3935068758381563</v>
      </c>
      <c r="H7" s="11" cm="1">
        <f t="array" ref="H7">MAX((RelLuminance(M7)+0.05),(G7+0.05))/MIN((RelLuminance(M7)+0.05),(G7+0.05))</f>
        <v>7.0416882030811179</v>
      </c>
      <c r="I7" s="12" t="b">
        <f t="shared" si="0"/>
        <v>1</v>
      </c>
      <c r="J7" s="11" cm="1">
        <f t="array" ref="J7">RelLuminance(F7)</f>
        <v>0.34913010007566075</v>
      </c>
      <c r="K7" s="11" cm="1">
        <f t="array" ref="K7">MAX((RelLuminance($M7)+0.05),(J7+0.05))/MIN((RelLuminance($M7)+0.05),(J7+0.05))</f>
        <v>6.337105173140511</v>
      </c>
      <c r="L7" s="12" t="b">
        <f t="shared" si="1"/>
        <v>1</v>
      </c>
      <c r="M7" s="103" t="str">
        <f>IF(G7&gt;0.25,"1E1E1E","F9F9F9")</f>
        <v>1E1E1E</v>
      </c>
      <c r="N7" s="9"/>
      <c r="O7" s="9"/>
    </row>
    <row r="8" spans="1:15" x14ac:dyDescent="0.2">
      <c r="A8" s="13" t="s">
        <v>21</v>
      </c>
      <c r="B8" s="9" t="s">
        <v>411</v>
      </c>
      <c r="C8" s="9" t="s">
        <v>405</v>
      </c>
      <c r="D8" s="9" t="s">
        <v>406</v>
      </c>
      <c r="E8" s="23" t="s">
        <v>591</v>
      </c>
      <c r="F8" s="24" t="s">
        <v>593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0</v>
      </c>
      <c r="B9" s="9" t="s">
        <v>400</v>
      </c>
      <c r="C9" s="9" t="s">
        <v>401</v>
      </c>
      <c r="D9" s="9" t="s">
        <v>402</v>
      </c>
      <c r="E9" s="23" t="s">
        <v>591</v>
      </c>
      <c r="F9" s="24" t="s">
        <v>593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59</v>
      </c>
      <c r="B10" s="9" t="s">
        <v>409</v>
      </c>
      <c r="C10" s="9" t="s">
        <v>407</v>
      </c>
      <c r="D10" s="9" t="s">
        <v>408</v>
      </c>
      <c r="E10" s="23" t="s">
        <v>591</v>
      </c>
      <c r="F10" s="24" t="s">
        <v>593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 t="shared" ref="M10:M69" si="3">IF(G10&gt;0.25,"1E1E1E","F9F9F9")</f>
        <v>1E1E1E</v>
      </c>
      <c r="N10" s="9"/>
      <c r="O10" s="9"/>
    </row>
    <row r="11" spans="1:15" x14ac:dyDescent="0.2">
      <c r="A11" s="13" t="s">
        <v>34</v>
      </c>
      <c r="B11" s="9" t="s">
        <v>433</v>
      </c>
      <c r="C11" s="9" t="s">
        <v>434</v>
      </c>
      <c r="D11" s="9" t="s">
        <v>435</v>
      </c>
      <c r="E11" s="25" t="s">
        <v>517</v>
      </c>
      <c r="F11" s="26" t="s">
        <v>518</v>
      </c>
      <c r="G11" s="11" cm="1">
        <f t="array" ref="G11">RelLuminance(E11)</f>
        <v>9.9301957651276945E-2</v>
      </c>
      <c r="H11" s="11" cm="1">
        <f t="array" ref="H11">MAX((RelLuminance(M11)+0.05),(G11+0.05))/MIN((RelLuminance(M11)+0.05),(G11+0.05))</f>
        <v>6.679795445566751</v>
      </c>
      <c r="I11" s="12" t="b">
        <f t="shared" si="0"/>
        <v>1</v>
      </c>
      <c r="J11" s="11" cm="1">
        <f t="array" ref="J11">RelLuminance(F11)</f>
        <v>6.6555437471764428E-2</v>
      </c>
      <c r="K11" s="11" cm="1">
        <f t="array" ref="K11">MAX((RelLuminance($M11)+0.05),(J11+0.05))/MIN((RelLuminance($M11)+0.05),(J11+0.05))</f>
        <v>8.5564994509569523</v>
      </c>
      <c r="L11" s="12" t="b">
        <f t="shared" si="1"/>
        <v>1</v>
      </c>
      <c r="M11" s="103" t="str">
        <f t="shared" si="3"/>
        <v>F9F9F9</v>
      </c>
      <c r="N11" s="9"/>
      <c r="O11" s="9"/>
    </row>
    <row r="12" spans="1:15" x14ac:dyDescent="0.2">
      <c r="A12" s="13" t="s">
        <v>283</v>
      </c>
      <c r="B12" s="9" t="s">
        <v>447</v>
      </c>
      <c r="C12" s="9" t="s">
        <v>436</v>
      </c>
      <c r="D12" s="9" t="s">
        <v>437</v>
      </c>
      <c r="E12" s="25" t="s">
        <v>517</v>
      </c>
      <c r="F12" s="26" t="s">
        <v>518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285</v>
      </c>
      <c r="B13" s="9" t="s">
        <v>448</v>
      </c>
      <c r="C13" s="9" t="s">
        <v>438</v>
      </c>
      <c r="D13" s="9" t="s">
        <v>439</v>
      </c>
      <c r="E13" s="25" t="s">
        <v>517</v>
      </c>
      <c r="F13" s="26" t="s">
        <v>518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24</v>
      </c>
      <c r="B14" s="9" t="s">
        <v>449</v>
      </c>
      <c r="C14" s="9" t="s">
        <v>440</v>
      </c>
      <c r="D14" s="9" t="s">
        <v>441</v>
      </c>
      <c r="E14" s="25" t="s">
        <v>517</v>
      </c>
      <c r="F14" s="26" t="s">
        <v>518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72</v>
      </c>
      <c r="B15" s="9" t="s">
        <v>450</v>
      </c>
      <c r="C15" s="9" t="s">
        <v>442</v>
      </c>
      <c r="D15" s="9" t="s">
        <v>443</v>
      </c>
      <c r="E15" s="25" t="s">
        <v>517</v>
      </c>
      <c r="F15" s="26" t="s">
        <v>518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125</v>
      </c>
      <c r="B16" s="9" t="s">
        <v>488</v>
      </c>
      <c r="C16" s="9" t="s">
        <v>490</v>
      </c>
      <c r="D16" s="9" t="s">
        <v>489</v>
      </c>
      <c r="E16" s="27" t="s">
        <v>520</v>
      </c>
      <c r="F16" s="28" t="s">
        <v>519</v>
      </c>
      <c r="G16" s="11" cm="1">
        <f t="array" ref="G16">RelLuminance(E16)</f>
        <v>8.6312334585315231E-2</v>
      </c>
      <c r="H16" s="11" cm="1">
        <f t="array" ref="H16">MAX((RelLuminance(M16)+0.05),(G16+0.05))/MIN((RelLuminance(M16)+0.05),(G16+0.05))</f>
        <v>7.3163337695533723</v>
      </c>
      <c r="I16" s="12" t="b">
        <f t="shared" si="0"/>
        <v>1</v>
      </c>
      <c r="J16" s="11" cm="1">
        <f t="array" ref="J16">RelLuminance(F16)</f>
        <v>6.5925193817131897E-2</v>
      </c>
      <c r="K16" s="11" cm="1">
        <f t="array" ref="K16">MAX((RelLuminance($M16)+0.05),(J16+0.05))/MIN((RelLuminance($M16)+0.05),(J16+0.05))</f>
        <v>8.6030180661713391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284</v>
      </c>
      <c r="B17" s="9"/>
      <c r="C17" s="9" t="s">
        <v>619</v>
      </c>
      <c r="D17" s="9" t="s">
        <v>618</v>
      </c>
      <c r="E17" s="29"/>
      <c r="F17" s="29"/>
      <c r="G17" s="11" cm="1">
        <f t="array" ref="G17">RelLuminance(E17)</f>
        <v>0</v>
      </c>
      <c r="H17" s="11" cm="1">
        <f t="array" ref="H17">MAX((RelLuminance(M17)+0.05),(G17+0.05))/MIN((RelLuminance(M17)+0.05),(G17+0.05))</f>
        <v>19.946130734663996</v>
      </c>
      <c r="I17" s="12" t="b">
        <f t="shared" si="0"/>
        <v>1</v>
      </c>
      <c r="J17" s="11" cm="1">
        <f t="array" ref="J17">RelLuminance(F17)</f>
        <v>0</v>
      </c>
      <c r="K17" s="11" cm="1">
        <f t="array" ref="K17">MAX((RelLuminance($M17)+0.05),(J17+0.05))/MIN((RelLuminance($M17)+0.05),(J17+0.05))</f>
        <v>19.946130734663996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12</v>
      </c>
      <c r="B18" s="9" t="s">
        <v>412</v>
      </c>
      <c r="C18" s="9" t="s">
        <v>413</v>
      </c>
      <c r="D18" s="9" t="s">
        <v>414</v>
      </c>
      <c r="E18" s="30" t="s">
        <v>599</v>
      </c>
      <c r="F18" s="31" t="s">
        <v>600</v>
      </c>
      <c r="G18" s="11" cm="1">
        <f t="array" ref="G18">RelLuminance(E18)</f>
        <v>0.41170747700127025</v>
      </c>
      <c r="H18" s="11" cm="1">
        <f t="array" ref="H18">MAX((RelLuminance(M18)+0.05),(G18+0.05))/MIN((RelLuminance(M18)+0.05),(G18+0.05))</f>
        <v>8.6548727183465655</v>
      </c>
      <c r="I18" s="12" t="b">
        <f t="shared" si="0"/>
        <v>1</v>
      </c>
      <c r="J18" s="11" cm="1">
        <f t="array" ref="J18">RelLuminance(F18)</f>
        <v>0.33846240987955678</v>
      </c>
      <c r="K18" s="11" cm="1">
        <f t="array" ref="K18">MAX((RelLuminance($M18)+0.05),(J18+0.05))/MIN((RelLuminance($M18)+0.05),(J18+0.05))</f>
        <v>7.2818675911555308</v>
      </c>
      <c r="L18" s="12" t="b">
        <f t="shared" si="1"/>
        <v>1</v>
      </c>
      <c r="M18" s="103" t="s">
        <v>601</v>
      </c>
      <c r="N18" s="9"/>
      <c r="O18" s="9"/>
    </row>
    <row r="19" spans="1:15" x14ac:dyDescent="0.2">
      <c r="A19" s="13" t="s">
        <v>3</v>
      </c>
      <c r="B19" s="9" t="s">
        <v>340</v>
      </c>
      <c r="C19" s="9" t="s">
        <v>356</v>
      </c>
      <c r="D19" s="9" t="s">
        <v>355</v>
      </c>
      <c r="E19" s="32" t="s">
        <v>580</v>
      </c>
      <c r="F19" s="33" t="s">
        <v>581</v>
      </c>
      <c r="G19" s="11" cm="1">
        <f t="array" ref="G19">RelLuminance(E19)</f>
        <v>0.16168128939231499</v>
      </c>
      <c r="H19" s="11" cm="1">
        <f t="array" ref="H19">MAX((RelLuminance(M19)+0.05),(G19+0.05))/MIN((RelLuminance(M19)+0.05),(G19+0.05))</f>
        <v>4.7113589471994519</v>
      </c>
      <c r="I19" s="12" t="b">
        <f t="shared" si="0"/>
        <v>1</v>
      </c>
      <c r="J19" s="11" cm="1">
        <f t="array" ref="J19">RelLuminance(F19)</f>
        <v>0.12352541743993579</v>
      </c>
      <c r="K19" s="11" cm="1">
        <f t="array" ref="K19">MAX((RelLuminance($M19)+0.05),(J19+0.05))/MIN((RelLuminance($M19)+0.05),(J19+0.05))</f>
        <v>5.747322504372641</v>
      </c>
      <c r="L19" s="12" t="b">
        <f t="shared" si="1"/>
        <v>1</v>
      </c>
      <c r="M19" s="103" t="str">
        <f t="shared" si="3"/>
        <v>F9F9F9</v>
      </c>
      <c r="N19" s="9"/>
      <c r="O19" s="9"/>
    </row>
    <row r="20" spans="1:15" x14ac:dyDescent="0.2">
      <c r="A20" s="13" t="s">
        <v>42</v>
      </c>
      <c r="B20" s="9" t="s">
        <v>357</v>
      </c>
      <c r="C20" s="9" t="s">
        <v>359</v>
      </c>
      <c r="D20" s="9" t="s">
        <v>358</v>
      </c>
      <c r="E20" s="32" t="s">
        <v>580</v>
      </c>
      <c r="F20" s="33" t="s">
        <v>581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181</v>
      </c>
      <c r="B21" s="9" t="s">
        <v>362</v>
      </c>
      <c r="C21" s="9" t="s">
        <v>361</v>
      </c>
      <c r="D21" s="9" t="s">
        <v>360</v>
      </c>
      <c r="E21" s="32" t="s">
        <v>580</v>
      </c>
      <c r="F21" s="33" t="s">
        <v>581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175</v>
      </c>
      <c r="B22" s="9" t="s">
        <v>365</v>
      </c>
      <c r="C22" s="9" t="s">
        <v>364</v>
      </c>
      <c r="D22" s="9" t="s">
        <v>363</v>
      </c>
      <c r="E22" s="32" t="s">
        <v>580</v>
      </c>
      <c r="F22" s="33" t="s">
        <v>581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376</v>
      </c>
      <c r="B23" s="9" t="s">
        <v>377</v>
      </c>
      <c r="C23" s="9" t="s">
        <v>378</v>
      </c>
      <c r="D23" s="9" t="s">
        <v>379</v>
      </c>
      <c r="E23" s="32" t="s">
        <v>580</v>
      </c>
      <c r="F23" s="33" t="s">
        <v>581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55</v>
      </c>
      <c r="B24" s="9" t="s">
        <v>368</v>
      </c>
      <c r="C24" s="9" t="s">
        <v>367</v>
      </c>
      <c r="D24" s="9" t="s">
        <v>366</v>
      </c>
      <c r="E24" s="32" t="s">
        <v>580</v>
      </c>
      <c r="F24" s="33" t="s">
        <v>581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106</v>
      </c>
      <c r="B25" s="9" t="s">
        <v>369</v>
      </c>
      <c r="C25" s="9" t="s">
        <v>370</v>
      </c>
      <c r="D25" s="9" t="s">
        <v>371</v>
      </c>
      <c r="E25" s="32" t="s">
        <v>580</v>
      </c>
      <c r="F25" s="33" t="s">
        <v>581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83</v>
      </c>
      <c r="B26" s="9" t="s">
        <v>372</v>
      </c>
      <c r="C26" s="9" t="s">
        <v>373</v>
      </c>
      <c r="D26" s="9" t="s">
        <v>374</v>
      </c>
      <c r="E26" s="32" t="s">
        <v>580</v>
      </c>
      <c r="F26" s="33" t="s">
        <v>581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319</v>
      </c>
      <c r="B27" s="9" t="s">
        <v>351</v>
      </c>
      <c r="C27" s="9" t="s">
        <v>345</v>
      </c>
      <c r="D27" s="9" t="s">
        <v>346</v>
      </c>
      <c r="E27" s="34" t="s">
        <v>521</v>
      </c>
      <c r="F27" s="35" t="s">
        <v>522</v>
      </c>
      <c r="G27" s="11" cm="1">
        <f t="array" ref="G27">RelLuminance(E27)</f>
        <v>7.7185901014926173E-2</v>
      </c>
      <c r="H27" s="11" cm="1">
        <f t="array" ref="H27">MAX((RelLuminance(M27)+0.05),(G27+0.05))/MIN((RelLuminance(M27)+0.05),(G27+0.05))</f>
        <v>7.8413293358369875</v>
      </c>
      <c r="I27" s="12" t="b">
        <f t="shared" si="0"/>
        <v>1</v>
      </c>
      <c r="J27" s="11" cm="1">
        <f t="array" ref="J27">RelLuminance(F27)</f>
        <v>5.1748708930676388E-2</v>
      </c>
      <c r="K27" s="11" cm="1">
        <f t="array" ref="K27">MAX((RelLuminance($M27)+0.05),(J27+0.05))/MIN((RelLuminance($M27)+0.05),(J27+0.05))</f>
        <v>9.801662814342798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333</v>
      </c>
      <c r="B28" s="9" t="s">
        <v>349</v>
      </c>
      <c r="C28" s="9" t="s">
        <v>344</v>
      </c>
      <c r="D28" s="9" t="s">
        <v>348</v>
      </c>
      <c r="E28" s="34" t="s">
        <v>521</v>
      </c>
      <c r="F28" s="35" t="s">
        <v>522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320</v>
      </c>
      <c r="B29" s="9" t="s">
        <v>350</v>
      </c>
      <c r="C29" s="9" t="s">
        <v>343</v>
      </c>
      <c r="D29" s="9" t="s">
        <v>347</v>
      </c>
      <c r="E29" s="34" t="s">
        <v>521</v>
      </c>
      <c r="F29" s="35" t="s">
        <v>522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203</v>
      </c>
      <c r="B30" s="9" t="s">
        <v>354</v>
      </c>
      <c r="C30" s="9" t="s">
        <v>352</v>
      </c>
      <c r="D30" s="9" t="s">
        <v>353</v>
      </c>
      <c r="E30" s="34" t="s">
        <v>521</v>
      </c>
      <c r="F30" s="35" t="s">
        <v>522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44</v>
      </c>
      <c r="B31" s="9" t="s">
        <v>492</v>
      </c>
      <c r="C31" s="9" t="s">
        <v>493</v>
      </c>
      <c r="D31" s="9" t="s">
        <v>494</v>
      </c>
      <c r="E31" s="36" t="s">
        <v>567</v>
      </c>
      <c r="F31" s="37" t="s">
        <v>568</v>
      </c>
      <c r="G31" s="11" cm="1">
        <f t="array" ref="G31">RelLuminance(E31)</f>
        <v>6.6386878283472769E-2</v>
      </c>
      <c r="H31" s="11" cm="1">
        <f t="array" ref="H31">MAX((RelLuminance(M31)+0.05),(G31+0.05))/MIN((RelLuminance(M31)+0.05),(G31+0.05))</f>
        <v>8.5688915403689432</v>
      </c>
      <c r="I31" s="12" t="b">
        <f t="shared" si="0"/>
        <v>1</v>
      </c>
      <c r="J31" s="11" cm="1">
        <f t="array" ref="J31">RelLuminance(F31)</f>
        <v>3.6811195561535337E-2</v>
      </c>
      <c r="K31" s="11" cm="1">
        <f t="array" ref="K31">MAX((RelLuminance($M31)+0.05),(J31+0.05))/MIN((RelLuminance($M31)+0.05),(J31+0.05))</f>
        <v>11.488224880237572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293</v>
      </c>
      <c r="B32" s="9" t="s">
        <v>381</v>
      </c>
      <c r="C32" s="9" t="s">
        <v>382</v>
      </c>
      <c r="D32" s="9" t="s">
        <v>385</v>
      </c>
      <c r="E32" s="38" t="s">
        <v>523</v>
      </c>
      <c r="F32" s="39" t="s">
        <v>524</v>
      </c>
      <c r="G32" s="11" cm="1">
        <f t="array" ref="G32">RelLuminance(E32)</f>
        <v>9.8954561567066016E-2</v>
      </c>
      <c r="H32" s="11" cm="1">
        <f t="array" ref="H32">MAX((RelLuminance(M32)+0.05),(G32+0.05))/MIN((RelLuminance(M32)+0.05),(G32+0.05))</f>
        <v>6.695374255350802</v>
      </c>
      <c r="I32" s="12" t="b">
        <f t="shared" si="0"/>
        <v>1</v>
      </c>
      <c r="J32" s="11" cm="1">
        <f t="array" ref="J32">RelLuminance(F32)</f>
        <v>7.1836597968438054E-2</v>
      </c>
      <c r="K32" s="11" cm="1">
        <f t="array" ref="K32">MAX((RelLuminance($M32)+0.05),(J32+0.05))/MIN((RelLuminance($M32)+0.05),(J32+0.05))</f>
        <v>8.1856072260943584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79</v>
      </c>
      <c r="B33" s="9"/>
      <c r="C33" s="9"/>
      <c r="D33" s="9"/>
      <c r="E33" s="40" t="s">
        <v>544</v>
      </c>
      <c r="F33" s="41" t="s">
        <v>545</v>
      </c>
      <c r="G33" s="11" cm="1">
        <f t="array" ref="G33">RelLuminance(E33)</f>
        <v>4.3162109989606692E-2</v>
      </c>
      <c r="H33" s="11" cm="1">
        <f t="array" ref="H33">MAX((RelLuminance(M33)+0.05),(G33+0.05))/MIN((RelLuminance(M33)+0.05),(G33+0.05))</f>
        <v>10.705066006388872</v>
      </c>
      <c r="I33" s="12" t="b">
        <f t="shared" si="0"/>
        <v>1</v>
      </c>
      <c r="J33" s="11" cm="1">
        <f t="array" ref="J33">RelLuminance(F33)</f>
        <v>2.7659896816243076E-2</v>
      </c>
      <c r="K33" s="11" cm="1">
        <f t="array" ref="K33">MAX((RelLuminance($M33)+0.05),(J33+0.05))/MIN((RelLuminance($M33)+0.05),(J33+0.05))</f>
        <v>12.841976072837204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324</v>
      </c>
      <c r="B34" s="9"/>
      <c r="C34" s="9"/>
      <c r="D34" s="9"/>
      <c r="E34" s="42" t="s">
        <v>582</v>
      </c>
      <c r="F34" s="43" t="s">
        <v>583</v>
      </c>
      <c r="G34" s="11" cm="1">
        <f t="array" ref="G34">RelLuminance(E34)</f>
        <v>0.13762783072217016</v>
      </c>
      <c r="H34" s="11" cm="1">
        <f t="array" ref="H34">MAX((RelLuminance(M34)+0.05),(G34+0.05))/MIN((RelLuminance(M34)+0.05),(G34+0.05))</f>
        <v>5.3153443862491869</v>
      </c>
      <c r="I34" s="12" t="b">
        <f t="shared" si="0"/>
        <v>1</v>
      </c>
      <c r="J34" s="11" cm="1">
        <f t="array" ref="J34">RelLuminance(F34)</f>
        <v>0.11227823488102863</v>
      </c>
      <c r="K34" s="11" cm="1">
        <f t="array" ref="K34">MAX((RelLuminance($M34)+0.05),(J34+0.05))/MIN((RelLuminance($M34)+0.05),(J34+0.05))</f>
        <v>6.1456580265638037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159</v>
      </c>
      <c r="B35" s="9" t="s">
        <v>455</v>
      </c>
      <c r="C35" s="9" t="s">
        <v>456</v>
      </c>
      <c r="D35" s="9" t="s">
        <v>457</v>
      </c>
      <c r="E35" s="44" t="s">
        <v>530</v>
      </c>
      <c r="F35" s="45" t="s">
        <v>531</v>
      </c>
      <c r="G35" s="11" cm="1">
        <f t="array" ref="G35">RelLuminance(E35)</f>
        <v>4.9886608001206409E-2</v>
      </c>
      <c r="H35" s="11" cm="1">
        <f t="array" ref="H35">MAX((RelLuminance(M35)+0.05),(G35+0.05))/MIN((RelLuminance(M35)+0.05),(G35+0.05))</f>
        <v>9.9843868631634241</v>
      </c>
      <c r="I35" s="12" t="b">
        <f t="shared" si="0"/>
        <v>1</v>
      </c>
      <c r="J35" s="11" cm="1">
        <f t="array" ref="J35">RelLuminance(F35)</f>
        <v>2.0861899223784577E-2</v>
      </c>
      <c r="K35" s="11" cm="1">
        <f t="array" ref="K35">MAX((RelLuminance($M35)+0.05),(J35+0.05))/MIN((RelLuminance($M35)+0.05),(J35+0.05))</f>
        <v>14.073945909686497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57</v>
      </c>
      <c r="B36" s="9"/>
      <c r="C36" s="9"/>
      <c r="D36" s="9"/>
      <c r="E36" s="46" t="s">
        <v>550</v>
      </c>
      <c r="F36" s="47" t="s">
        <v>551</v>
      </c>
      <c r="G36" s="11" cm="1">
        <f t="array" ref="G36">RelLuminance(E36)</f>
        <v>3.3269621867682647E-2</v>
      </c>
      <c r="H36" s="11" cm="1">
        <f t="array" ref="H36">MAX((RelLuminance(M36)+0.05),(G36+0.05))/MIN((RelLuminance(M36)+0.05),(G36+0.05))</f>
        <v>11.976835181477622</v>
      </c>
      <c r="I36" s="12" t="b">
        <f t="shared" si="0"/>
        <v>1</v>
      </c>
      <c r="J36" s="11" cm="1">
        <f t="array" ref="J36">RelLuminance(F36)</f>
        <v>1.5567614484264277E-2</v>
      </c>
      <c r="K36" s="11" cm="1">
        <f t="array" ref="K36">MAX((RelLuminance($M36)+0.05),(J36+0.05))/MIN((RelLuminance($M36)+0.05),(J36+0.05))</f>
        <v>15.210352619623606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6</v>
      </c>
      <c r="B37" s="9" t="s">
        <v>395</v>
      </c>
      <c r="C37" s="9" t="s">
        <v>393</v>
      </c>
      <c r="D37" s="9" t="s">
        <v>394</v>
      </c>
      <c r="E37" s="48">
        <v>205878</v>
      </c>
      <c r="F37" s="49" t="s">
        <v>532</v>
      </c>
      <c r="G37" s="11" cm="1">
        <f t="array" ref="G37">RelLuminance(E37)</f>
        <v>8.6425891584498218E-2</v>
      </c>
      <c r="H37" s="11" cm="1">
        <f t="array" ref="H37">MAX((RelLuminance(M37)+0.05),(G37+0.05))/MIN((RelLuminance(M37)+0.05),(G37+0.05))</f>
        <v>7.310243863170923</v>
      </c>
      <c r="I37" s="12" t="b">
        <f t="shared" si="0"/>
        <v>1</v>
      </c>
      <c r="J37" s="11" cm="1">
        <f t="array" ref="J37">RelLuminance(F37)</f>
        <v>3.8665458163681929E-2</v>
      </c>
      <c r="K37" s="11" cm="1">
        <f t="array" ref="K37">MAX((RelLuminance($M37)+0.05),(J37+0.05))/MIN((RelLuminance($M37)+0.05),(J37+0.05))</f>
        <v>11.247971390302975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1</v>
      </c>
      <c r="B38" s="9" t="s">
        <v>415</v>
      </c>
      <c r="C38" s="9" t="s">
        <v>416</v>
      </c>
      <c r="D38" s="9" t="s">
        <v>417</v>
      </c>
      <c r="E38" s="50" t="s">
        <v>533</v>
      </c>
      <c r="F38" s="51" t="s">
        <v>584</v>
      </c>
      <c r="G38" s="11" cm="1">
        <f t="array" ref="G38">RelLuminance(E38)</f>
        <v>0.11723187070913084</v>
      </c>
      <c r="H38" s="11" cm="1">
        <f t="array" ref="H38">MAX((RelLuminance(M38)+0.05),(G38+0.05))/MIN((RelLuminance(M38)+0.05),(G38+0.05))</f>
        <v>5.9636152636708317</v>
      </c>
      <c r="I38" s="12" t="b">
        <f t="shared" si="0"/>
        <v>1</v>
      </c>
      <c r="J38" s="11" cm="1">
        <f t="array" ref="J38">RelLuminance(F38)</f>
        <v>8.6867413683631808E-2</v>
      </c>
      <c r="K38" s="11" cm="1">
        <f t="array" ref="K38">MAX((RelLuminance($M38)+0.05),(J38+0.05))/MIN((RelLuminance($M38)+0.05),(J38+0.05))</f>
        <v>7.2866616668776087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27</v>
      </c>
      <c r="B39" s="9" t="s">
        <v>482</v>
      </c>
      <c r="C39" s="9" t="s">
        <v>481</v>
      </c>
      <c r="D39" s="9" t="s">
        <v>483</v>
      </c>
      <c r="E39" s="52" t="s">
        <v>538</v>
      </c>
      <c r="F39" s="53" t="s">
        <v>539</v>
      </c>
      <c r="G39" s="11" cm="1">
        <f t="array" ref="G39">RelLuminance(E39)</f>
        <v>0.10322862672013233</v>
      </c>
      <c r="H39" s="11" cm="1">
        <f t="array" ref="H39">MAX((RelLuminance(M39)+0.05),(G39+0.05))/MIN((RelLuminance(M39)+0.05),(G39+0.05))</f>
        <v>6.5086176002526699</v>
      </c>
      <c r="I39" s="12" t="b">
        <f t="shared" si="0"/>
        <v>1</v>
      </c>
      <c r="J39" s="11" cm="1">
        <f t="array" ref="J39">RelLuminance(F39)</f>
        <v>6.1980976517965344E-2</v>
      </c>
      <c r="K39" s="11" cm="1">
        <f t="array" ref="K39">MAX((RelLuminance($M39)+0.05),(J39+0.05))/MIN((RelLuminance($M39)+0.05),(J39+0.05))</f>
        <v>8.9060353619366754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47</v>
      </c>
      <c r="B40" s="9" t="s">
        <v>380</v>
      </c>
      <c r="C40" s="9" t="s">
        <v>378</v>
      </c>
      <c r="D40" s="9" t="s">
        <v>399</v>
      </c>
      <c r="E40" s="54" t="s">
        <v>540</v>
      </c>
      <c r="F40" s="55" t="s">
        <v>541</v>
      </c>
      <c r="G40" s="11" cm="1">
        <f t="array" ref="G40">RelLuminance(E40)</f>
        <v>3.1790096853342512E-2</v>
      </c>
      <c r="H40" s="11" cm="1">
        <f t="array" ref="H40">MAX((RelLuminance(M40)+0.05),(G40+0.05))/MIN((RelLuminance(M40)+0.05),(G40+0.05))</f>
        <v>12.193487660510613</v>
      </c>
      <c r="I40" s="12" t="b">
        <f t="shared" si="0"/>
        <v>1</v>
      </c>
      <c r="J40" s="11" cm="1">
        <f t="array" ref="J40">RelLuminance(F40)</f>
        <v>1.7287968900400408E-2</v>
      </c>
      <c r="K40" s="11" cm="1">
        <f t="array" ref="K40">MAX((RelLuminance($M40)+0.05),(J40+0.05))/MIN((RelLuminance($M40)+0.05),(J40+0.05))</f>
        <v>14.821468875207275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334</v>
      </c>
      <c r="B41" s="9"/>
      <c r="C41" s="9" t="s">
        <v>501</v>
      </c>
      <c r="D41" s="9" t="s">
        <v>503</v>
      </c>
      <c r="E41" s="56" t="s">
        <v>542</v>
      </c>
      <c r="F41" s="57" t="s">
        <v>543</v>
      </c>
      <c r="G41" s="11" cm="1">
        <f t="array" ref="G41">RelLuminance(E41)</f>
        <v>4.5156363366389403E-2</v>
      </c>
      <c r="H41" s="11" cm="1">
        <f t="array" ref="H41">MAX((RelLuminance(M41)+0.05),(G41+0.05))/MIN((RelLuminance(M41)+0.05),(G41+0.05))</f>
        <v>10.480713022766302</v>
      </c>
      <c r="I41" s="12" t="b">
        <f t="shared" si="0"/>
        <v>1</v>
      </c>
      <c r="J41" s="11" cm="1">
        <f t="array" ref="J41">RelLuminance(F41)</f>
        <v>3.1603262056015768E-2</v>
      </c>
      <c r="K41" s="11" cm="1">
        <f t="array" ref="K41">MAX((RelLuminance($M41)+0.05),(J41+0.05))/MIN((RelLuminance($M41)+0.05),(J41+0.05))</f>
        <v>12.221405267458652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335</v>
      </c>
      <c r="B42" s="9"/>
      <c r="C42" s="9"/>
      <c r="D42" s="9" t="s">
        <v>502</v>
      </c>
      <c r="E42" s="56" t="s">
        <v>542</v>
      </c>
      <c r="F42" s="57" t="s">
        <v>543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186</v>
      </c>
      <c r="B43" s="9"/>
      <c r="C43" s="9"/>
      <c r="D43" s="9"/>
      <c r="E43" s="29"/>
      <c r="F43" s="29"/>
      <c r="G43" s="11" cm="1">
        <f t="array" ref="G43">RelLuminance(E43)</f>
        <v>0</v>
      </c>
      <c r="H43" s="11" cm="1">
        <f t="array" ref="H43">MAX((RelLuminance(M43)+0.05),(G43+0.05))/MIN((RelLuminance(M43)+0.05),(G43+0.05))</f>
        <v>19.946130734663996</v>
      </c>
      <c r="I43" s="12" t="b">
        <f t="shared" si="0"/>
        <v>1</v>
      </c>
      <c r="J43" s="11" cm="1">
        <f t="array" ref="J43">RelLuminance(F43)</f>
        <v>0</v>
      </c>
      <c r="K43" s="11" cm="1">
        <f t="array" ref="K43">MAX((RelLuminance($M43)+0.05),(J43+0.05))/MIN((RelLuminance($M43)+0.05),(J43+0.05))</f>
        <v>19.946130734663996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84</v>
      </c>
      <c r="B44" s="9" t="s">
        <v>495</v>
      </c>
      <c r="C44" s="9" t="s">
        <v>496</v>
      </c>
      <c r="D44" s="58" t="s">
        <v>497</v>
      </c>
      <c r="E44" s="59" t="s">
        <v>586</v>
      </c>
      <c r="F44" s="60" t="s">
        <v>585</v>
      </c>
      <c r="G44" s="11" cm="1">
        <f t="array" ref="G44">RelLuminance(E44)</f>
        <v>0.17635288328342602</v>
      </c>
      <c r="H44" s="11" cm="1">
        <f t="array" ref="H44">MAX((RelLuminance(M44)+0.05),(G44+0.05))/MIN((RelLuminance(M44)+0.05),(G44+0.05))</f>
        <v>4.5603596267894346</v>
      </c>
      <c r="I44" s="12" t="b">
        <f t="shared" si="0"/>
        <v>1</v>
      </c>
      <c r="J44" s="11" cm="1">
        <f t="array" ref="J44">RelLuminance(F44)</f>
        <v>0.14259955246061073</v>
      </c>
      <c r="K44" s="11" cm="1">
        <f t="array" ref="K44">MAX((RelLuminance($M44)+0.05),(J44+0.05))/MIN((RelLuminance($M44)+0.05),(J44+0.05))</f>
        <v>5.3595687899857749</v>
      </c>
      <c r="L44" s="12" t="b">
        <f t="shared" si="1"/>
        <v>1</v>
      </c>
      <c r="M44" s="103" t="s">
        <v>603</v>
      </c>
      <c r="N44" s="9"/>
      <c r="O44" s="9"/>
    </row>
    <row r="45" spans="1:15" x14ac:dyDescent="0.2">
      <c r="A45" s="13" t="s">
        <v>10</v>
      </c>
      <c r="B45" s="9" t="s">
        <v>418</v>
      </c>
      <c r="C45" s="9" t="s">
        <v>419</v>
      </c>
      <c r="D45" s="9" t="s">
        <v>420</v>
      </c>
      <c r="E45" s="97" t="s">
        <v>607</v>
      </c>
      <c r="F45" s="98" t="s">
        <v>608</v>
      </c>
      <c r="G45" s="11" cm="1">
        <f t="array" ref="G45">RelLuminance(E45)</f>
        <v>0.52842809846897998</v>
      </c>
      <c r="H45" s="11" cm="1">
        <f t="array" ref="H45">MAX((RelLuminance(M45)+0.05),(G45+0.05))/MIN((RelLuminance(M45)+0.05),(G45+0.05))</f>
        <v>9.1838718613373018</v>
      </c>
      <c r="I45" s="12" t="b">
        <f t="shared" si="0"/>
        <v>1</v>
      </c>
      <c r="J45" s="11" cm="1">
        <f t="array" ref="J45">RelLuminance(F45)</f>
        <v>0.37493417461181683</v>
      </c>
      <c r="K45" s="11" cm="1">
        <f t="array" ref="K45">MAX((RelLuminance($M45)+0.05),(J45+0.05))/MIN((RelLuminance($M45)+0.05),(J45+0.05))</f>
        <v>6.7468040011672112</v>
      </c>
      <c r="L45" s="12" t="b">
        <f t="shared" si="1"/>
        <v>1</v>
      </c>
      <c r="M45" s="103" t="str">
        <f t="shared" si="3"/>
        <v>1E1E1E</v>
      </c>
      <c r="N45" s="9"/>
      <c r="O45" s="9"/>
    </row>
    <row r="46" spans="1:15" x14ac:dyDescent="0.2">
      <c r="A46" s="13" t="s">
        <v>22</v>
      </c>
      <c r="B46" s="9" t="s">
        <v>462</v>
      </c>
      <c r="C46" s="9" t="s">
        <v>459</v>
      </c>
      <c r="D46" s="9" t="s">
        <v>460</v>
      </c>
      <c r="E46" s="61" t="s">
        <v>528</v>
      </c>
      <c r="F46" s="62" t="s">
        <v>529</v>
      </c>
      <c r="G46" s="11" cm="1">
        <f t="array" ref="G46">RelLuminance(E46)</f>
        <v>0.14463040179517506</v>
      </c>
      <c r="H46" s="11" cm="1">
        <f t="array" ref="H46">MAX((RelLuminance(M46)+0.05),(G46+0.05))/MIN((RelLuminance(M46)+0.05),(G46+0.05))</f>
        <v>5.1241045979175661</v>
      </c>
      <c r="I46" s="12" t="b">
        <f t="shared" si="0"/>
        <v>1</v>
      </c>
      <c r="J46" s="11" cm="1">
        <f t="array" ref="J46">RelLuminance(F46)</f>
        <v>0.10231749637794819</v>
      </c>
      <c r="K46" s="11" cm="1">
        <f t="array" ref="K46">MAX((RelLuminance($M46)+0.05),(J46+0.05))/MIN((RelLuminance($M46)+0.05),(J46+0.05))</f>
        <v>6.5475507439970313</v>
      </c>
      <c r="L46" s="12" t="b">
        <f t="shared" si="1"/>
        <v>1</v>
      </c>
      <c r="M46" s="103" t="str">
        <f t="shared" si="3"/>
        <v>F9F9F9</v>
      </c>
      <c r="N46" s="9"/>
      <c r="O46" s="9"/>
    </row>
    <row r="47" spans="1:15" x14ac:dyDescent="0.2">
      <c r="A47" s="13" t="s">
        <v>11</v>
      </c>
      <c r="B47" s="9" t="s">
        <v>421</v>
      </c>
      <c r="C47" s="9" t="s">
        <v>422</v>
      </c>
      <c r="D47" s="9" t="s">
        <v>461</v>
      </c>
      <c r="E47" s="63">
        <v>274523</v>
      </c>
      <c r="F47" s="64" t="s">
        <v>527</v>
      </c>
      <c r="G47" s="11" cm="1">
        <f t="array" ref="G47">RelLuminance(E47)</f>
        <v>4.8089278569366907E-2</v>
      </c>
      <c r="H47" s="11" cm="1">
        <f t="array" ref="H47">MAX((RelLuminance(M47)+0.05),(G47+0.05))/MIN((RelLuminance(M47)+0.05),(G47+0.05))</f>
        <v>10.167334812519018</v>
      </c>
      <c r="I47" s="12" t="b">
        <f t="shared" si="0"/>
        <v>1</v>
      </c>
      <c r="J47" s="11" cm="1">
        <f t="array" ref="J47">RelLuminance(F47)</f>
        <v>2.1453071371103815E-2</v>
      </c>
      <c r="K47" s="11" cm="1">
        <f t="array" ref="K47">MAX((RelLuminance($M47)+0.05),(J47+0.05))/MIN((RelLuminance($M47)+0.05),(J47+0.05))</f>
        <v>13.957504101587414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51</v>
      </c>
      <c r="B48" s="9" t="s">
        <v>458</v>
      </c>
      <c r="C48" s="9" t="s">
        <v>464</v>
      </c>
      <c r="D48" s="9" t="s">
        <v>463</v>
      </c>
      <c r="E48" s="95" t="s">
        <v>605</v>
      </c>
      <c r="F48" s="96" t="s">
        <v>606</v>
      </c>
      <c r="G48" s="11" cm="1">
        <f t="array" ref="G48">RelLuminance(E48)</f>
        <v>0.58372904907742185</v>
      </c>
      <c r="H48" s="11" cm="1">
        <f t="array" ref="H48">MAX((RelLuminance(M48)+0.05),(G48+0.05))/MIN((RelLuminance(M48)+0.05),(G48+0.05))</f>
        <v>10.061901205939256</v>
      </c>
      <c r="I48" s="12" t="b">
        <f t="shared" si="0"/>
        <v>1</v>
      </c>
      <c r="J48" s="11" cm="1">
        <f t="array" ref="J48">RelLuminance(F48)</f>
        <v>0.45643962304855989</v>
      </c>
      <c r="K48" s="11" cm="1">
        <f t="array" ref="K48">MAX((RelLuminance($M48)+0.05),(J48+0.05))/MIN((RelLuminance($M48)+0.05),(J48+0.05))</f>
        <v>8.0408898113571983</v>
      </c>
      <c r="L48" s="12" t="b">
        <f t="shared" si="1"/>
        <v>1</v>
      </c>
      <c r="M48" s="103" t="s">
        <v>604</v>
      </c>
      <c r="N48" s="9"/>
      <c r="O48" s="9"/>
    </row>
    <row r="49" spans="1:15" x14ac:dyDescent="0.2">
      <c r="A49" s="13" t="s">
        <v>168</v>
      </c>
      <c r="B49" s="9" t="s">
        <v>470</v>
      </c>
      <c r="C49" s="9" t="s">
        <v>472</v>
      </c>
      <c r="D49" s="9" t="s">
        <v>471</v>
      </c>
      <c r="E49" s="65" t="s">
        <v>587</v>
      </c>
      <c r="F49" s="66" t="s">
        <v>588</v>
      </c>
      <c r="G49" s="11" cm="1">
        <f t="array" ref="G49">RelLuminance(E49)</f>
        <v>0.16365618559111275</v>
      </c>
      <c r="H49" s="11" cm="1">
        <f t="array" ref="H49">MAX((RelLuminance(M49)+0.05),(G49+0.05))/MIN((RelLuminance(M49)+0.05),(G49+0.05))</f>
        <v>4.6678102671073978</v>
      </c>
      <c r="I49" s="12" t="b">
        <f t="shared" si="0"/>
        <v>1</v>
      </c>
      <c r="J49" s="11" cm="1">
        <f t="array" ref="J49">RelLuminance(F49)</f>
        <v>0.13572216898452358</v>
      </c>
      <c r="K49" s="11" cm="1">
        <f t="array" ref="K49">MAX((RelLuminance($M49)+0.05),(J49+0.05))/MIN((RelLuminance($M49)+0.05),(J49+0.05))</f>
        <v>5.3698841779965765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4</v>
      </c>
      <c r="B50" s="9" t="s">
        <v>423</v>
      </c>
      <c r="C50" s="9" t="s">
        <v>424</v>
      </c>
      <c r="D50" s="9" t="s">
        <v>425</v>
      </c>
      <c r="E50" s="67" t="s">
        <v>552</v>
      </c>
      <c r="F50" s="68" t="s">
        <v>553</v>
      </c>
      <c r="G50" s="11" cm="1">
        <f t="array" ref="G50">RelLuminance(E50)</f>
        <v>0.11503704277889526</v>
      </c>
      <c r="H50" s="11" cm="1">
        <f t="array" ref="H50">MAX((RelLuminance(M50)+0.05),(G50+0.05))/MIN((RelLuminance(M50)+0.05),(G50+0.05))</f>
        <v>6.042925393842153</v>
      </c>
      <c r="I50" s="12" t="b">
        <f t="shared" si="0"/>
        <v>1</v>
      </c>
      <c r="J50" s="11" cm="1">
        <f t="array" ref="J50">RelLuminance(F50)</f>
        <v>9.2415242552586402E-2</v>
      </c>
      <c r="K50" s="11" cm="1">
        <f t="array" ref="K50">MAX((RelLuminance($M50)+0.05),(J50+0.05))/MIN((RelLuminance($M50)+0.05),(J50+0.05))</f>
        <v>7.0028075566767178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236</v>
      </c>
      <c r="B51" s="9" t="s">
        <v>595</v>
      </c>
      <c r="C51" s="9" t="s">
        <v>596</v>
      </c>
      <c r="D51" s="9" t="s">
        <v>597</v>
      </c>
      <c r="E51" s="69" t="s">
        <v>569</v>
      </c>
      <c r="F51" s="70" t="s">
        <v>570</v>
      </c>
      <c r="G51" s="11" cm="1">
        <f t="array" ref="G51">RelLuminance(E51)</f>
        <v>2.4926116532785821E-2</v>
      </c>
      <c r="H51" s="11" cm="1">
        <f t="array" ref="H51">MAX((RelLuminance(M51)+0.05),(G51+0.05))/MIN((RelLuminance(M51)+0.05),(G51+0.05))</f>
        <v>13.310532867358779</v>
      </c>
      <c r="I51" s="12" t="b">
        <f t="shared" si="0"/>
        <v>1</v>
      </c>
      <c r="J51" s="11" cm="1">
        <f t="array" ref="J51">RelLuminance(F51)</f>
        <v>1.2889763965466847E-2</v>
      </c>
      <c r="K51" s="11" cm="1">
        <f t="array" ref="K51">MAX((RelLuminance($M51)+0.05),(J51+0.05))/MIN((RelLuminance($M51)+0.05),(J51+0.05))</f>
        <v>15.858010490877767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74</v>
      </c>
      <c r="B52" s="9" t="s">
        <v>505</v>
      </c>
      <c r="C52" s="9" t="s">
        <v>504</v>
      </c>
      <c r="D52" s="9" t="s">
        <v>508</v>
      </c>
      <c r="E52" s="71" t="s">
        <v>561</v>
      </c>
      <c r="F52" s="72" t="s">
        <v>562</v>
      </c>
      <c r="G52" s="11" cm="1">
        <f t="array" ref="G52">RelLuminance(E52)</f>
        <v>0.15230099613989648</v>
      </c>
      <c r="H52" s="11" cm="1">
        <f t="array" ref="H52">MAX((RelLuminance(M52)+0.05),(G52+0.05))/MIN((RelLuminance(M52)+0.05),(G52+0.05))</f>
        <v>4.9298152543131124</v>
      </c>
      <c r="I52" s="12" t="b">
        <f t="shared" si="0"/>
        <v>1</v>
      </c>
      <c r="J52" s="11" cm="1">
        <f t="array" ref="J52">RelLuminance(F52)</f>
        <v>0.11444099088085805</v>
      </c>
      <c r="K52" s="11" cm="1">
        <f t="array" ref="K52">MAX((RelLuminance($M52)+0.05),(J52+0.05))/MIN((RelLuminance($M52)+0.05),(J52+0.05))</f>
        <v>6.0648292824735854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</v>
      </c>
      <c r="B53" s="9" t="s">
        <v>430</v>
      </c>
      <c r="C53" s="9" t="s">
        <v>429</v>
      </c>
      <c r="D53" s="9" t="s">
        <v>431</v>
      </c>
      <c r="E53" s="73" t="s">
        <v>525</v>
      </c>
      <c r="F53" s="74" t="s">
        <v>526</v>
      </c>
      <c r="G53" s="11" cm="1">
        <f t="array" ref="G53">RelLuminance(E53)</f>
        <v>0.18192845753461406</v>
      </c>
      <c r="H53" s="11" cm="1">
        <f t="array" ref="H53">MAX((RelLuminance(M53)+0.05),(G53+0.05))/MIN((RelLuminance(M53)+0.05),(G53+0.05))</f>
        <v>4.5272581517655865</v>
      </c>
      <c r="I53" s="12" t="b">
        <f t="shared" si="0"/>
        <v>1</v>
      </c>
      <c r="J53" s="11" cm="1">
        <f t="array" ref="J53">RelLuminance(F53)</f>
        <v>0.1284497923751447</v>
      </c>
      <c r="K53" s="11" cm="1">
        <f t="array" ref="K53">MAX((RelLuminance($M53)+0.05),(J53+0.05))/MIN((RelLuminance($M53)+0.05),(J53+0.05))</f>
        <v>5.8840079667486851</v>
      </c>
      <c r="L53" s="12" t="b">
        <f t="shared" si="1"/>
        <v>1</v>
      </c>
      <c r="M53" s="103" t="s">
        <v>602</v>
      </c>
      <c r="N53" s="9"/>
      <c r="O53" s="9"/>
    </row>
    <row r="54" spans="1:15" x14ac:dyDescent="0.2">
      <c r="A54" s="13" t="s">
        <v>32</v>
      </c>
      <c r="B54" s="9" t="s">
        <v>444</v>
      </c>
      <c r="C54" s="9" t="s">
        <v>445</v>
      </c>
      <c r="D54" s="9" t="s">
        <v>446</v>
      </c>
      <c r="E54" s="99" t="s">
        <v>609</v>
      </c>
      <c r="F54" s="100" t="s">
        <v>610</v>
      </c>
      <c r="G54" s="11" cm="1">
        <f t="array" ref="G54">RelLuminance(E54)</f>
        <v>4.8171824226889419E-2</v>
      </c>
      <c r="H54" s="11" cm="1">
        <f t="array" ref="H54">MAX((RelLuminance(M54)+0.05),(G54+0.05))/MIN((RelLuminance(M54)+0.05),(G54+0.05))</f>
        <v>10.158785828694381</v>
      </c>
      <c r="I54" s="12" t="b">
        <f t="shared" si="0"/>
        <v>1</v>
      </c>
      <c r="J54" s="11" cm="1">
        <f t="array" ref="J54">RelLuminance(F54)</f>
        <v>3.954623527673283E-2</v>
      </c>
      <c r="K54" s="11" cm="1">
        <f t="array" ref="K54">MAX((RelLuminance($M54)+0.05),(J54+0.05))/MIN((RelLuminance($M54)+0.05),(J54+0.05))</f>
        <v>11.137336300639923</v>
      </c>
      <c r="L54" s="12" t="b">
        <f t="shared" si="1"/>
        <v>1</v>
      </c>
      <c r="M54" s="103" t="s">
        <v>598</v>
      </c>
      <c r="N54" s="9"/>
      <c r="O54" s="9"/>
    </row>
    <row r="55" spans="1:15" x14ac:dyDescent="0.2">
      <c r="A55" s="13" t="s">
        <v>66</v>
      </c>
      <c r="B55" s="9" t="s">
        <v>396</v>
      </c>
      <c r="C55" s="9" t="s">
        <v>397</v>
      </c>
      <c r="D55" s="9" t="s">
        <v>398</v>
      </c>
      <c r="E55" s="75" t="s">
        <v>554</v>
      </c>
      <c r="F55" s="76">
        <v>233960</v>
      </c>
      <c r="G55" s="11" cm="1">
        <f t="array" ref="G55">RelLuminance(E55)</f>
        <v>5.451822968873947E-2</v>
      </c>
      <c r="H55" s="11" cm="1">
        <f t="array" ref="H55">MAX((RelLuminance(M55)+0.05),(G55+0.05))/MIN((RelLuminance(M55)+0.05),(G55+0.05))</f>
        <v>9.5419386618318036</v>
      </c>
      <c r="I55" s="12" t="b">
        <f t="shared" si="0"/>
        <v>1</v>
      </c>
      <c r="J55" s="11" cm="1">
        <f t="array" ref="J55">RelLuminance(F55)</f>
        <v>4.1281079125009744E-2</v>
      </c>
      <c r="K55" s="11" cm="1">
        <f t="array" ref="K55">MAX((RelLuminance($M55)+0.05),(J55+0.05))/MIN((RelLuminance($M55)+0.05),(J55+0.05))</f>
        <v>10.925665497089328</v>
      </c>
      <c r="L55" s="12" t="b">
        <f t="shared" si="1"/>
        <v>1</v>
      </c>
      <c r="M55" s="103" t="str">
        <f t="shared" si="3"/>
        <v>F9F9F9</v>
      </c>
      <c r="N55" s="9"/>
      <c r="O55" s="9"/>
    </row>
    <row r="56" spans="1:15" x14ac:dyDescent="0.2">
      <c r="A56" s="13" t="s">
        <v>101</v>
      </c>
      <c r="B56" s="9" t="s">
        <v>484</v>
      </c>
      <c r="C56" s="9" t="s">
        <v>485</v>
      </c>
      <c r="D56" s="9" t="s">
        <v>486</v>
      </c>
      <c r="E56" s="77" t="s">
        <v>555</v>
      </c>
      <c r="F56" s="78" t="s">
        <v>556</v>
      </c>
      <c r="G56" s="11" cm="1">
        <f t="array" ref="G56">RelLuminance(E56)</f>
        <v>0.44475429782956627</v>
      </c>
      <c r="H56" s="11" cm="1">
        <f t="array" ref="H56">MAX((RelLuminance(M56)+0.05),(G56+0.05))/MIN((RelLuminance(M56)+0.05),(G56+0.05))</f>
        <v>7.8553584899131961</v>
      </c>
      <c r="I56" s="12" t="b">
        <f t="shared" si="0"/>
        <v>1</v>
      </c>
      <c r="J56" s="11" cm="1">
        <f t="array" ref="J56">RelLuminance(F56)</f>
        <v>0.31234819922652979</v>
      </c>
      <c r="K56" s="11" cm="1">
        <f t="array" ref="K56">MAX((RelLuminance($M56)+0.05),(J56+0.05))/MIN((RelLuminance($M56)+0.05),(J56+0.05))</f>
        <v>5.7531081904404244</v>
      </c>
      <c r="L56" s="12" t="b">
        <f t="shared" si="1"/>
        <v>1</v>
      </c>
      <c r="M56" s="103" t="str">
        <f t="shared" si="3"/>
        <v>1E1E1E</v>
      </c>
      <c r="N56" s="9"/>
      <c r="O56" s="9"/>
    </row>
    <row r="57" spans="1:15" x14ac:dyDescent="0.2">
      <c r="A57" s="13" t="s">
        <v>8</v>
      </c>
      <c r="B57" s="9" t="s">
        <v>432</v>
      </c>
      <c r="C57" s="9" t="s">
        <v>382</v>
      </c>
      <c r="D57" s="9" t="s">
        <v>385</v>
      </c>
      <c r="E57" s="38" t="s">
        <v>523</v>
      </c>
      <c r="F57" s="39" t="s">
        <v>524</v>
      </c>
      <c r="G57" s="11" cm="1">
        <f t="array" ref="G57">RelLuminance(E57)</f>
        <v>9.8954561567066016E-2</v>
      </c>
      <c r="H57" s="11" cm="1">
        <f t="array" ref="H57">MAX((RelLuminance(M57)+0.05),(G57+0.05))/MIN((RelLuminance(M57)+0.05),(G57+0.05))</f>
        <v>6.695374255350802</v>
      </c>
      <c r="I57" s="12" t="b">
        <f t="shared" si="0"/>
        <v>1</v>
      </c>
      <c r="J57" s="11" cm="1">
        <f t="array" ref="J57">RelLuminance(F57)</f>
        <v>7.1836597968438054E-2</v>
      </c>
      <c r="K57" s="11" cm="1">
        <f t="array" ref="K57">MAX((RelLuminance($M57)+0.05),(J57+0.05))/MIN((RelLuminance($M57)+0.05),(J57+0.05))</f>
        <v>8.1856072260943584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5</v>
      </c>
      <c r="B58" s="9" t="s">
        <v>426</v>
      </c>
      <c r="C58" s="9" t="s">
        <v>427</v>
      </c>
      <c r="D58" s="9" t="s">
        <v>428</v>
      </c>
      <c r="E58" s="79" t="s">
        <v>578</v>
      </c>
      <c r="F58" s="80" t="s">
        <v>579</v>
      </c>
      <c r="G58" s="11" cm="1">
        <f t="array" ref="G58">RelLuminance(E58)</f>
        <v>9.7082232545512848E-2</v>
      </c>
      <c r="H58" s="11" cm="1">
        <f t="array" ref="H58">MAX((RelLuminance(M58)+0.05),(G58+0.05))/MIN((RelLuminance(M58)+0.05),(G58+0.05))</f>
        <v>6.7806051041861579</v>
      </c>
      <c r="I58" s="12" t="b">
        <f t="shared" si="0"/>
        <v>1</v>
      </c>
      <c r="J58" s="11" cm="1">
        <f t="array" ref="J58">RelLuminance(F58)</f>
        <v>7.071149299360889E-2</v>
      </c>
      <c r="K58" s="11" cm="1">
        <f t="array" ref="K58">MAX((RelLuminance($M58)+0.05),(J58+0.05))/MIN((RelLuminance($M58)+0.05),(J58+0.05))</f>
        <v>8.2619020939953298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37</v>
      </c>
      <c r="B59" s="9" t="s">
        <v>465</v>
      </c>
      <c r="C59" s="9" t="s">
        <v>467</v>
      </c>
      <c r="D59" s="9" t="s">
        <v>466</v>
      </c>
      <c r="E59" s="81" t="s">
        <v>546</v>
      </c>
      <c r="F59" s="82" t="s">
        <v>547</v>
      </c>
      <c r="G59" s="11" cm="1">
        <f t="array" ref="G59">RelLuminance(E59)</f>
        <v>0.29608642327316148</v>
      </c>
      <c r="H59" s="11" cm="1">
        <f t="array" ref="H59">MAX((RelLuminance(M59)+0.05),(G59+0.05))/MIN((RelLuminance(M59)+0.05),(G59+0.05))</f>
        <v>6.8386992749700575</v>
      </c>
      <c r="I59" s="12" t="b">
        <f t="shared" si="0"/>
        <v>1</v>
      </c>
      <c r="J59" s="11" cm="1">
        <f t="array" ref="J59">RelLuminance(F59)</f>
        <v>0.20637181180932962</v>
      </c>
      <c r="K59" s="11" cm="1">
        <f t="array" ref="K59">MAX((RelLuminance($M59)+0.05),(J59+0.05))/MIN((RelLuminance($M59)+0.05),(J59+0.05))</f>
        <v>5.0659303735801435</v>
      </c>
      <c r="L59" s="12" t="b">
        <f t="shared" si="1"/>
        <v>1</v>
      </c>
      <c r="M59" s="104" t="s">
        <v>616</v>
      </c>
      <c r="N59" s="9"/>
      <c r="O59" s="9"/>
    </row>
    <row r="60" spans="1:15" x14ac:dyDescent="0.2">
      <c r="A60" s="9" t="s">
        <v>487</v>
      </c>
      <c r="B60" s="9"/>
      <c r="C60" s="9"/>
      <c r="D60" s="9"/>
      <c r="E60" s="29"/>
      <c r="F60" s="29"/>
      <c r="G60" s="11" cm="1">
        <f t="array" ref="G60">RelLuminance(E60)</f>
        <v>0</v>
      </c>
      <c r="H60" s="11" cm="1">
        <f t="array" ref="H60">MAX((RelLuminance(M60)+0.05),(G60+0.05))/MIN((RelLuminance(M60)+0.05),(G60+0.05))</f>
        <v>19.946130734663996</v>
      </c>
      <c r="I60" s="12" t="b">
        <f t="shared" si="0"/>
        <v>1</v>
      </c>
      <c r="J60" s="11" cm="1">
        <f t="array" ref="J60">RelLuminance(F60)</f>
        <v>0</v>
      </c>
      <c r="K60" s="11" cm="1">
        <f t="array" ref="K60">MAX((RelLuminance($M60)+0.05),(J60+0.05))/MIN((RelLuminance($M60)+0.05),(J60+0.05))</f>
        <v>19.946130734663996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2</v>
      </c>
      <c r="B61" s="9" t="s">
        <v>383</v>
      </c>
      <c r="C61" s="9" t="s">
        <v>477</v>
      </c>
      <c r="D61" s="9" t="s">
        <v>384</v>
      </c>
      <c r="E61" s="83" t="s">
        <v>534</v>
      </c>
      <c r="F61" s="84" t="s">
        <v>535</v>
      </c>
      <c r="G61" s="11" cm="1">
        <f t="array" ref="G61">RelLuminance(E61)</f>
        <v>3.1006789315027386E-2</v>
      </c>
      <c r="H61" s="11" cm="1">
        <f t="array" ref="H61">MAX((RelLuminance(M61)+0.05),(G61+0.05))/MIN((RelLuminance(M61)+0.05),(G61+0.05))</f>
        <v>12.311394454294113</v>
      </c>
      <c r="I61" s="12" t="b">
        <f t="shared" si="0"/>
        <v>1</v>
      </c>
      <c r="J61" s="11" cm="1">
        <f t="array" ref="J61">RelLuminance(F61)</f>
        <v>1.2232340248918141E-2</v>
      </c>
      <c r="K61" s="11" cm="1">
        <f t="array" ref="K61">MAX((RelLuminance($M61)+0.05),(J61+0.05))/MIN((RelLuminance($M61)+0.05),(J61+0.05))</f>
        <v>16.025534838383923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29</v>
      </c>
      <c r="B62" s="9" t="s">
        <v>468</v>
      </c>
      <c r="C62" s="9" t="s">
        <v>469</v>
      </c>
      <c r="D62" s="9" t="s">
        <v>479</v>
      </c>
      <c r="E62" s="85" t="s">
        <v>536</v>
      </c>
      <c r="F62" s="86" t="s">
        <v>537</v>
      </c>
      <c r="G62" s="11" cm="1">
        <f t="array" ref="G62">RelLuminance(E62)</f>
        <v>0.14489709090358288</v>
      </c>
      <c r="H62" s="11" cm="1">
        <f t="array" ref="H62">MAX((RelLuminance(M62)+0.05),(G62+0.05))/MIN((RelLuminance(M62)+0.05),(G62+0.05))</f>
        <v>5.1170929853774743</v>
      </c>
      <c r="I62" s="12" t="b">
        <f t="shared" si="0"/>
        <v>1</v>
      </c>
      <c r="J62" s="11" cm="1">
        <f t="array" ref="J62">RelLuminance(F62)</f>
        <v>0.10915227386967055</v>
      </c>
      <c r="K62" s="11" cm="1">
        <f t="array" ref="K62">MAX((RelLuminance($M62)+0.05),(J62+0.05))/MIN((RelLuminance($M62)+0.05),(J62+0.05))</f>
        <v>6.2663668729602433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76</v>
      </c>
      <c r="B63" s="9" t="s">
        <v>505</v>
      </c>
      <c r="C63" s="9" t="s">
        <v>506</v>
      </c>
      <c r="D63" s="9" t="s">
        <v>507</v>
      </c>
      <c r="E63" s="71" t="s">
        <v>561</v>
      </c>
      <c r="F63" s="72" t="s">
        <v>562</v>
      </c>
      <c r="G63" s="11" cm="1">
        <f t="array" ref="G63">RelLuminance(E63)</f>
        <v>0.15230099613989648</v>
      </c>
      <c r="H63" s="11" cm="1">
        <f t="array" ref="H63">MAX((RelLuminance(M63)+0.05),(G63+0.05))/MIN((RelLuminance(M63)+0.05),(G63+0.05))</f>
        <v>4.9298152543131124</v>
      </c>
      <c r="I63" s="12" t="b">
        <f t="shared" si="0"/>
        <v>1</v>
      </c>
      <c r="J63" s="11" cm="1">
        <f t="array" ref="J63">RelLuminance(F63)</f>
        <v>0.11444099088085805</v>
      </c>
      <c r="K63" s="11" cm="1">
        <f t="array" ref="K63">MAX((RelLuminance($M63)+0.05),(J63+0.05))/MIN((RelLuminance($M63)+0.05),(J63+0.05))</f>
        <v>6.0648292824735854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118</v>
      </c>
      <c r="B64" s="9" t="s">
        <v>478</v>
      </c>
      <c r="C64" s="9" t="s">
        <v>476</v>
      </c>
      <c r="D64" s="9" t="s">
        <v>480</v>
      </c>
      <c r="E64" s="87" t="s">
        <v>565</v>
      </c>
      <c r="F64" s="88" t="s">
        <v>566</v>
      </c>
      <c r="G64" s="11" cm="1">
        <f t="array" ref="G64">RelLuminance(E64)</f>
        <v>1.5757225682563044E-2</v>
      </c>
      <c r="H64" s="11" cm="1">
        <f t="array" ref="H64">MAX((RelLuminance(M64)+0.05),(G64+0.05))/MIN((RelLuminance(M64)+0.05),(G64+0.05))</f>
        <v>15.166493512782994</v>
      </c>
      <c r="I64" s="12" t="b">
        <f t="shared" si="0"/>
        <v>1</v>
      </c>
      <c r="J64" s="11" cm="1">
        <f t="array" ref="J64">RelLuminance(F64)</f>
        <v>1.1998544160810195E-2</v>
      </c>
      <c r="K64" s="11" cm="1">
        <f t="array" ref="K64">MAX((RelLuminance($M64)+0.05),(J64+0.05))/MIN((RelLuminance($M64)+0.05),(J64+0.05))</f>
        <v>16.08596702119992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49</v>
      </c>
      <c r="B65" s="9" t="s">
        <v>451</v>
      </c>
      <c r="C65" s="9" t="s">
        <v>452</v>
      </c>
      <c r="D65" s="9" t="s">
        <v>454</v>
      </c>
      <c r="E65" s="89" t="s">
        <v>563</v>
      </c>
      <c r="F65" s="90" t="s">
        <v>564</v>
      </c>
      <c r="G65" s="11" cm="1">
        <f t="array" ref="G65">RelLuminance(E65)</f>
        <v>3.3209242840091878E-2</v>
      </c>
      <c r="H65" s="11" cm="1">
        <f t="array" ref="H65">MAX((RelLuminance(M65)+0.05),(G65+0.05))/MIN((RelLuminance(M65)+0.05),(G65+0.05))</f>
        <v>11.985525918674478</v>
      </c>
      <c r="I65" s="12" t="b">
        <f t="shared" si="0"/>
        <v>1</v>
      </c>
      <c r="J65" s="11" cm="1">
        <f t="array" ref="J65">RelLuminance(F65)</f>
        <v>1.9382352756188916E-2</v>
      </c>
      <c r="K65" s="11" cm="1">
        <f t="array" ref="K65">MAX((RelLuminance($M65)+0.05),(J65+0.05))/MIN((RelLuminance($M65)+0.05),(J65+0.05))</f>
        <v>14.374066273563198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39</v>
      </c>
      <c r="B66" s="9" t="s">
        <v>451</v>
      </c>
      <c r="C66" s="9" t="s">
        <v>452</v>
      </c>
      <c r="D66" s="9" t="s">
        <v>454</v>
      </c>
      <c r="E66" s="89" t="s">
        <v>563</v>
      </c>
      <c r="F66" s="90" t="s">
        <v>564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25</v>
      </c>
      <c r="B67" s="9" t="s">
        <v>451</v>
      </c>
      <c r="C67" s="9" t="s">
        <v>452</v>
      </c>
      <c r="D67" s="9" t="s">
        <v>453</v>
      </c>
      <c r="E67" s="89" t="s">
        <v>563</v>
      </c>
      <c r="F67" s="90" t="s">
        <v>564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ref="I67:I70" si="4">H67&gt;=4.5</f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ref="L67:L70" si="5">K67&gt;=4.5</f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109</v>
      </c>
      <c r="B68" s="9" t="s">
        <v>473</v>
      </c>
      <c r="C68" s="9" t="s">
        <v>474</v>
      </c>
      <c r="D68" s="9" t="s">
        <v>475</v>
      </c>
      <c r="E68" s="91" t="s">
        <v>559</v>
      </c>
      <c r="F68" s="92" t="s">
        <v>560</v>
      </c>
      <c r="G68" s="11" cm="1">
        <f t="array" ref="G68">RelLuminance(E68)</f>
        <v>9.3295578159095546E-2</v>
      </c>
      <c r="H68" s="11" cm="1">
        <f t="array" ref="H68">MAX((RelLuminance(M68)+0.05),(G68+0.05))/MIN((RelLuminance(M68)+0.05),(G68+0.05))</f>
        <v>6.9597858464685407</v>
      </c>
      <c r="I68" s="12" t="b">
        <f t="shared" si="4"/>
        <v>1</v>
      </c>
      <c r="J68" s="11" cm="1">
        <f t="array" ref="J68">RelLuminance(F68)</f>
        <v>4.4427700082331156E-2</v>
      </c>
      <c r="K68" s="11" cm="1">
        <f t="array" ref="K68">MAX((RelLuminance($M68)+0.05),(J68+0.05))/MIN((RelLuminance($M68)+0.05),(J68+0.05))</f>
        <v>10.561588769647592</v>
      </c>
      <c r="L68" s="12" t="b">
        <f t="shared" si="5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330</v>
      </c>
      <c r="B69" s="9"/>
      <c r="C69" s="9" t="s">
        <v>594</v>
      </c>
      <c r="D69" s="9"/>
      <c r="E69" s="29"/>
      <c r="F69" s="29"/>
      <c r="G69" s="11" cm="1">
        <f t="array" ref="G69">RelLuminance(E69)</f>
        <v>0</v>
      </c>
      <c r="H69" s="11" cm="1">
        <f t="array" ref="H69">MAX((RelLuminance(M69)+0.05),(G69+0.05))/MIN((RelLuminance(M69)+0.05),(G69+0.05))</f>
        <v>19.946130734663996</v>
      </c>
      <c r="I69" s="12" t="b">
        <f t="shared" si="4"/>
        <v>1</v>
      </c>
      <c r="J69" s="11" cm="1">
        <f t="array" ref="J69">RelLuminance(F69)</f>
        <v>0</v>
      </c>
      <c r="K69" s="11" cm="1">
        <f t="array" ref="K69">MAX((RelLuminance($M69)+0.05),(J69+0.05))/MIN((RelLuminance($M69)+0.05),(J69+0.05))</f>
        <v>19.946130734663996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224</v>
      </c>
      <c r="B70" s="9" t="s">
        <v>498</v>
      </c>
      <c r="C70" s="9" t="s">
        <v>499</v>
      </c>
      <c r="D70" s="9" t="s">
        <v>500</v>
      </c>
      <c r="E70" s="93" t="s">
        <v>557</v>
      </c>
      <c r="F70" s="94" t="s">
        <v>558</v>
      </c>
      <c r="G70" s="11" cm="1">
        <f t="array" ref="G70">RelLuminance(E70)</f>
        <v>0.33127407505105538</v>
      </c>
      <c r="H70" s="11" cm="1">
        <f t="array" ref="H70">MAX((RelLuminance(M70)+0.05),(G70+0.05))/MIN((RelLuminance(M70)+0.05),(G70+0.05))</f>
        <v>7.5340104819960834</v>
      </c>
      <c r="I70" s="12" t="b">
        <f t="shared" si="4"/>
        <v>1</v>
      </c>
      <c r="J70" s="11" cm="1">
        <f t="array" ref="J70">RelLuminance(F70)</f>
        <v>0.21889569799480102</v>
      </c>
      <c r="K70" s="11" cm="1">
        <f t="array" ref="K70">MAX((RelLuminance($M70)+0.05),(J70+0.05))/MIN((RelLuminance($M70)+0.05),(J70+0.05))</f>
        <v>5.3134035063496148</v>
      </c>
      <c r="L70" s="12" t="b">
        <f t="shared" si="5"/>
        <v>1</v>
      </c>
      <c r="M70" s="103" t="str">
        <f>"020202"</f>
        <v>020202</v>
      </c>
      <c r="N70" s="9"/>
      <c r="O70" s="9"/>
    </row>
  </sheetData>
  <autoFilter ref="A1:L70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0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59:F70 E39:F43 E46:F47 E50:F53 E35:F37 E27:F33 E11:F17 E5:F5 E19:F26 E34:F34 E38:F38 E58 E55:F57 F54 M5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3</xdr:row>
                    <xdr:rowOff>50800</xdr:rowOff>
                  </from>
                  <to>
                    <xdr:col>15</xdr:col>
                    <xdr:colOff>254000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16" zoomScale="116" workbookViewId="0">
      <selection activeCell="A33" sqref="A33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571</v>
      </c>
      <c r="C1" s="1" t="s">
        <v>574</v>
      </c>
    </row>
    <row r="2" spans="1:3" x14ac:dyDescent="0.2">
      <c r="A2" t="str" cm="1">
        <f t="array" ref="A2:A69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 &amp; B Stewards</v>
      </c>
      <c r="B32" s="1" t="str">
        <f>IF(IFERROR(INDEX('Operator Details'!E:E,MATCH('Operator Data Check'!A32,'Operator Details'!A:A,0))&lt;&gt;"",FALSE),"Yes","No")</f>
        <v>No</v>
      </c>
      <c r="C32" s="1" t="str">
        <f>IF(B32="No","N/A",IF(INDEX('Operator Details'!H:H,MATCH('Operator Data Check'!A32,'Operator Details'!A:A,0))&gt;4.5,"Yes","No"))</f>
        <v>N/A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Henty Highway Coach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Hutchinson Buslines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Jacobson Coach Tours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Kastoria Bus Lines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Kinetic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Latrobe Valley Bus Lines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Little's Gippsland Coaches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Littles Coaches (Ballarat)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(Daylesford)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Mallacoota Explorer Tours</v>
      </c>
      <c r="B43" s="1" t="str">
        <f>IF(IFERROR(INDEX('Operator Details'!E:E,MATCH('Operator Data Check'!A43,'Operator Details'!A:A,0))&lt;&gt;"",FALSE),"Yes","No")</f>
        <v>No</v>
      </c>
      <c r="C43" s="1" t="str">
        <f>IF(B43="No","N/A",IF(INDEX('Operator Details'!H:H,MATCH('Operator Data Check'!A43,'Operator Details'!A:A,0))&gt;4.5,"Yes","No"))</f>
        <v>N/A</v>
      </c>
    </row>
    <row r="44" spans="1:3" x14ac:dyDescent="0.2">
      <c r="A44" t="str">
        <v>Martin's Albury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Martyrs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McHarrys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McKenzies Tourist Service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Newton's Bus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Organ's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Panorama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Popes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Portland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Ryan Bros Bus Service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Sandlant Buses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Seymour Coaches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South Coast Bus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Sunbury Bus Service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Transit Systems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Trotters Coaches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Ventura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Warragul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Warrnambool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Westernport Roadlines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(Castlemaine)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(Maryborough)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(Strathfieldsaye)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Wimmera Roadways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Yarrawonga &amp; Mulwala Taxis</v>
      </c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A69" t="str">
        <v>Zaffina Bus Lines</v>
      </c>
      <c r="B69" s="1" t="str">
        <f>IF(IFERROR(INDEX('Operator Details'!E:E,MATCH('Operator Data Check'!A69,'Operator Details'!A:A,0))&lt;&gt;"",FALSE),"Yes","No")</f>
        <v>Yes</v>
      </c>
      <c r="C69" s="1" t="str">
        <f>IF(B69="No","N/A",IF(INDEX('Operator Details'!H:H,MATCH('Operator Data Check'!A69,'Operator Details'!A:A,0))&gt;4.5,"Yes","No"))</f>
        <v>Yes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2024-06-13T12:46:40Z</dcterms:modified>
</cp:coreProperties>
</file>