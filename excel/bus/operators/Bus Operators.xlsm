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dwardyeung/Projects/TVData/excel/bus/operators/"/>
    </mc:Choice>
  </mc:AlternateContent>
  <xr:revisionPtr revIDLastSave="0" documentId="13_ncr:1_{EC57687E-7016-074E-A633-8F287BED745C}" xr6:coauthVersionLast="47" xr6:coauthVersionMax="47" xr10:uidLastSave="{00000000-0000-0000-0000-000000000000}"/>
  <bookViews>
    <workbookView xWindow="0" yWindow="500" windowWidth="28800" windowHeight="17500" xr2:uid="{030AC41A-E8A8-B548-9F7D-7E959248A1F2}"/>
  </bookViews>
  <sheets>
    <sheet name="Metro" sheetId="1" r:id="rId1"/>
    <sheet name="Regional - Numbered" sheetId="2" r:id="rId2"/>
    <sheet name="Regional - Inter Town Link" sheetId="3" r:id="rId3"/>
    <sheet name="Operator Details" sheetId="5" r:id="rId4"/>
    <sheet name="Operator Data Check" sheetId="4" r:id="rId5"/>
  </sheets>
  <functionGroups builtInGroupCount="19"/>
  <definedNames>
    <definedName name="_xlnm._FilterDatabase" localSheetId="3" hidden="1">'Operator Details'!$A$1:$L$72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2" i="5" l="1"/>
  <c r="A2" i="4" a="1"/>
  <c r="B69" i="4"/>
  <c r="C69" i="4" s="1"/>
  <c r="J30" i="5" a="1"/>
  <c r="G30" i="5" a="1"/>
  <c r="G3" i="5" a="1"/>
  <c r="G14" i="5" a="1"/>
  <c r="G18" i="5" a="1"/>
  <c r="G23" i="5" a="1"/>
  <c r="G27" i="5" a="1"/>
  <c r="G32" i="5" a="1"/>
  <c r="G36" i="5" a="1"/>
  <c r="G40" i="5" a="1"/>
  <c r="G44" i="5" a="1"/>
  <c r="G51" i="5" a="1"/>
  <c r="G57" i="5" a="1"/>
  <c r="G62" i="5" a="1"/>
  <c r="G66" i="5" a="1"/>
  <c r="G70" i="5" a="1"/>
  <c r="G9" i="5" a="1"/>
  <c r="O2" i="5" a="1"/>
  <c r="J8" i="5" a="1"/>
  <c r="J12" i="5" a="1"/>
  <c r="J16" i="5" a="1"/>
  <c r="J21" i="5" a="1"/>
  <c r="J25" i="5" a="1"/>
  <c r="J29" i="5" a="1"/>
  <c r="J34" i="5" a="1"/>
  <c r="J38" i="5" a="1"/>
  <c r="J42" i="5" a="1"/>
  <c r="J46" i="5" a="1"/>
  <c r="J52" i="5" a="1"/>
  <c r="J57" i="5" a="1"/>
  <c r="J61" i="5" a="1"/>
  <c r="J65" i="5" a="1"/>
  <c r="J69" i="5" a="1"/>
  <c r="J3" i="5" a="1"/>
  <c r="G55" i="5" a="1"/>
  <c r="G56" i="5" a="1"/>
  <c r="G50" i="5" a="1"/>
  <c r="G2" i="5" a="1"/>
  <c r="G6" i="5" a="1"/>
  <c r="G13" i="5" a="1"/>
  <c r="G17" i="5" a="1"/>
  <c r="G22" i="5" a="1"/>
  <c r="G26" i="5" a="1"/>
  <c r="G31" i="5" a="1"/>
  <c r="G35" i="5" a="1"/>
  <c r="G39" i="5" a="1"/>
  <c r="G43" i="5" a="1"/>
  <c r="G49" i="5" a="1"/>
  <c r="G54" i="5" a="1"/>
  <c r="G60" i="5" a="1"/>
  <c r="G65" i="5" a="1"/>
  <c r="G69" i="5" a="1"/>
  <c r="G10" i="5" a="1"/>
  <c r="J4" i="5" a="1"/>
  <c r="J9" i="5" a="1"/>
  <c r="J13" i="5" a="1"/>
  <c r="J17" i="5" a="1"/>
  <c r="J22" i="5" a="1"/>
  <c r="J26" i="5" a="1"/>
  <c r="J31" i="5" a="1"/>
  <c r="J35" i="5" a="1"/>
  <c r="J39" i="5" a="1"/>
  <c r="J43" i="5" a="1"/>
  <c r="J48" i="5" a="1"/>
  <c r="J53" i="5" a="1"/>
  <c r="J58" i="5" a="1"/>
  <c r="J62" i="5" a="1"/>
  <c r="J66" i="5" a="1"/>
  <c r="J70" i="5" a="1"/>
  <c r="G72" i="5" a="1"/>
  <c r="O1" i="5" a="1"/>
  <c r="J47" i="5" a="1"/>
  <c r="J19" i="5" a="1"/>
  <c r="G5" i="5" a="1"/>
  <c r="G12" i="5" a="1"/>
  <c r="G16" i="5" a="1"/>
  <c r="G21" i="5" a="1"/>
  <c r="G25" i="5" a="1"/>
  <c r="G29" i="5" a="1"/>
  <c r="G34" i="5" a="1"/>
  <c r="G38" i="5" a="1"/>
  <c r="G42" i="5" a="1"/>
  <c r="G48" i="5" a="1"/>
  <c r="G53" i="5" a="1"/>
  <c r="G59" i="5" a="1"/>
  <c r="G64" i="5" a="1"/>
  <c r="G68" i="5" a="1"/>
  <c r="G8" i="5" a="1"/>
  <c r="J5" i="5" a="1"/>
  <c r="J10" i="5" a="1"/>
  <c r="J14" i="5" a="1"/>
  <c r="J18" i="5" a="1"/>
  <c r="J23" i="5" a="1"/>
  <c r="J27" i="5" a="1"/>
  <c r="J32" i="5" a="1"/>
  <c r="J36" i="5" a="1"/>
  <c r="J40" i="5" a="1"/>
  <c r="J44" i="5" a="1"/>
  <c r="J49" i="5" a="1"/>
  <c r="J54" i="5" a="1"/>
  <c r="J59" i="5" a="1"/>
  <c r="J63" i="5" a="1"/>
  <c r="J67" i="5" a="1"/>
  <c r="J72" i="5" a="1"/>
  <c r="G46" i="5" a="1"/>
  <c r="J7" i="5" a="1"/>
  <c r="G47" i="5" a="1"/>
  <c r="G19" i="5" a="1"/>
  <c r="J2" i="5" a="1"/>
  <c r="G4" i="5" a="1"/>
  <c r="G24" i="5" a="1"/>
  <c r="G41" i="5" a="1"/>
  <c r="G63" i="5" a="1"/>
  <c r="J15" i="5" a="1"/>
  <c r="J33" i="5" a="1"/>
  <c r="J51" i="5" a="1"/>
  <c r="J68" i="5" a="1"/>
  <c r="J50" i="5" a="1"/>
  <c r="G7" i="5" a="1"/>
  <c r="G15" i="5" a="1"/>
  <c r="G33" i="5" a="1"/>
  <c r="G52" i="5" a="1"/>
  <c r="G71" i="5" a="1"/>
  <c r="J6" i="5" a="1"/>
  <c r="J24" i="5" a="1"/>
  <c r="J41" i="5" a="1"/>
  <c r="J60" i="5" a="1"/>
  <c r="G61" i="5" a="1"/>
  <c r="G11" i="5" a="1"/>
  <c r="G28" i="5" a="1"/>
  <c r="G45" i="5" a="1"/>
  <c r="G67" i="5" a="1"/>
  <c r="J11" i="5" a="1"/>
  <c r="J28" i="5" a="1"/>
  <c r="J45" i="5" a="1"/>
  <c r="J64" i="5" a="1"/>
  <c r="J56" i="5" a="1"/>
  <c r="G20" i="5" a="1"/>
  <c r="J55" i="5" a="1"/>
  <c r="G58" i="5" a="1"/>
  <c r="J20" i="5" a="1"/>
  <c r="G37" i="5" a="1"/>
  <c r="J37" i="5" a="1"/>
  <c r="J71" i="5" a="1"/>
  <c r="G30" i="5" l="1"/>
  <c r="M30" i="5" s="1"/>
  <c r="J30" i="5"/>
  <c r="J71" i="5"/>
  <c r="J37" i="5"/>
  <c r="G37" i="5"/>
  <c r="M37" i="5" s="1"/>
  <c r="J20" i="5"/>
  <c r="G58" i="5"/>
  <c r="M58" i="5" s="1"/>
  <c r="J55" i="5"/>
  <c r="G20" i="5"/>
  <c r="M20" i="5" s="1"/>
  <c r="J56" i="5"/>
  <c r="J64" i="5"/>
  <c r="J45" i="5"/>
  <c r="J28" i="5"/>
  <c r="J11" i="5"/>
  <c r="G67" i="5"/>
  <c r="M67" i="5" s="1"/>
  <c r="G45" i="5"/>
  <c r="M45" i="5" s="1"/>
  <c r="G28" i="5"/>
  <c r="M28" i="5" s="1"/>
  <c r="G11" i="5"/>
  <c r="M11" i="5" s="1"/>
  <c r="G61" i="5"/>
  <c r="J60" i="5"/>
  <c r="J41" i="5"/>
  <c r="J24" i="5"/>
  <c r="J6" i="5"/>
  <c r="G71" i="5"/>
  <c r="M71" i="5" s="1"/>
  <c r="G52" i="5"/>
  <c r="M52" i="5" s="1"/>
  <c r="G33" i="5"/>
  <c r="M33" i="5" s="1"/>
  <c r="G15" i="5"/>
  <c r="M15" i="5" s="1"/>
  <c r="G7" i="5"/>
  <c r="M7" i="5" s="1"/>
  <c r="J50" i="5"/>
  <c r="J68" i="5"/>
  <c r="J51" i="5"/>
  <c r="J33" i="5"/>
  <c r="J15" i="5"/>
  <c r="G63" i="5"/>
  <c r="M63" i="5" s="1"/>
  <c r="G41" i="5"/>
  <c r="M41" i="5" s="1"/>
  <c r="G24" i="5"/>
  <c r="M24" i="5" s="1"/>
  <c r="G4" i="5"/>
  <c r="M4" i="5" s="1"/>
  <c r="J2" i="5"/>
  <c r="G19" i="5"/>
  <c r="G47" i="5"/>
  <c r="M47" i="5" s="1"/>
  <c r="J7" i="5"/>
  <c r="G46" i="5"/>
  <c r="J72" i="5"/>
  <c r="J67" i="5"/>
  <c r="J63" i="5"/>
  <c r="J59" i="5"/>
  <c r="J54" i="5"/>
  <c r="J49" i="5"/>
  <c r="J44" i="5"/>
  <c r="J40" i="5"/>
  <c r="J36" i="5"/>
  <c r="J32" i="5"/>
  <c r="J27" i="5"/>
  <c r="J23" i="5"/>
  <c r="J18" i="5"/>
  <c r="J14" i="5"/>
  <c r="J10" i="5"/>
  <c r="J5" i="5"/>
  <c r="G8" i="5"/>
  <c r="M8" i="5" s="1"/>
  <c r="G68" i="5"/>
  <c r="M68" i="5" s="1"/>
  <c r="G64" i="5"/>
  <c r="M64" i="5" s="1"/>
  <c r="G59" i="5"/>
  <c r="M59" i="5" s="1"/>
  <c r="G53" i="5"/>
  <c r="M53" i="5" s="1"/>
  <c r="G48" i="5"/>
  <c r="M48" i="5" s="1"/>
  <c r="G42" i="5"/>
  <c r="M42" i="5" s="1"/>
  <c r="G38" i="5"/>
  <c r="M38" i="5" s="1"/>
  <c r="G34" i="5"/>
  <c r="M34" i="5" s="1"/>
  <c r="G29" i="5"/>
  <c r="M29" i="5" s="1"/>
  <c r="G25" i="5"/>
  <c r="M25" i="5" s="1"/>
  <c r="G21" i="5"/>
  <c r="M21" i="5" s="1"/>
  <c r="G16" i="5"/>
  <c r="M16" i="5" s="1"/>
  <c r="G12" i="5"/>
  <c r="M12" i="5" s="1"/>
  <c r="G5" i="5"/>
  <c r="M5" i="5" s="1"/>
  <c r="J19" i="5"/>
  <c r="J47" i="5"/>
  <c r="O1" i="5"/>
  <c r="G72" i="5"/>
  <c r="J70" i="5"/>
  <c r="J66" i="5"/>
  <c r="J62" i="5"/>
  <c r="J58" i="5"/>
  <c r="J53" i="5"/>
  <c r="J48" i="5"/>
  <c r="J43" i="5"/>
  <c r="J39" i="5"/>
  <c r="J35" i="5"/>
  <c r="J31" i="5"/>
  <c r="J26" i="5"/>
  <c r="J22" i="5"/>
  <c r="J17" i="5"/>
  <c r="J13" i="5"/>
  <c r="J9" i="5"/>
  <c r="J4" i="5"/>
  <c r="G10" i="5"/>
  <c r="M10" i="5" s="1"/>
  <c r="G69" i="5"/>
  <c r="M69" i="5" s="1"/>
  <c r="G65" i="5"/>
  <c r="M65" i="5" s="1"/>
  <c r="G60" i="5"/>
  <c r="M60" i="5" s="1"/>
  <c r="G54" i="5"/>
  <c r="M54" i="5" s="1"/>
  <c r="G49" i="5"/>
  <c r="M49" i="5" s="1"/>
  <c r="G43" i="5"/>
  <c r="M43" i="5" s="1"/>
  <c r="G39" i="5"/>
  <c r="M39" i="5" s="1"/>
  <c r="G35" i="5"/>
  <c r="M35" i="5" s="1"/>
  <c r="G31" i="5"/>
  <c r="M31" i="5" s="1"/>
  <c r="G26" i="5"/>
  <c r="M26" i="5" s="1"/>
  <c r="G22" i="5"/>
  <c r="M22" i="5" s="1"/>
  <c r="G17" i="5"/>
  <c r="M17" i="5" s="1"/>
  <c r="G13" i="5"/>
  <c r="M13" i="5" s="1"/>
  <c r="G6" i="5"/>
  <c r="M6" i="5" s="1"/>
  <c r="G2" i="5"/>
  <c r="M2" i="5" s="1"/>
  <c r="G50" i="5"/>
  <c r="G56" i="5"/>
  <c r="G55" i="5"/>
  <c r="J3" i="5"/>
  <c r="J69" i="5"/>
  <c r="J65" i="5"/>
  <c r="J61" i="5"/>
  <c r="J57" i="5"/>
  <c r="J52" i="5"/>
  <c r="J46" i="5"/>
  <c r="J42" i="5"/>
  <c r="J38" i="5"/>
  <c r="J34" i="5"/>
  <c r="J29" i="5"/>
  <c r="J25" i="5"/>
  <c r="J21" i="5"/>
  <c r="J16" i="5"/>
  <c r="J12" i="5"/>
  <c r="J8" i="5"/>
  <c r="O2" i="5"/>
  <c r="G9" i="5"/>
  <c r="M9" i="5" s="1"/>
  <c r="G70" i="5"/>
  <c r="M70" i="5" s="1"/>
  <c r="G66" i="5"/>
  <c r="M66" i="5" s="1"/>
  <c r="G62" i="5"/>
  <c r="M62" i="5" s="1"/>
  <c r="G57" i="5"/>
  <c r="M57" i="5" s="1"/>
  <c r="G51" i="5"/>
  <c r="M51" i="5" s="1"/>
  <c r="G44" i="5"/>
  <c r="M44" i="5" s="1"/>
  <c r="G40" i="5"/>
  <c r="M40" i="5" s="1"/>
  <c r="G36" i="5"/>
  <c r="M36" i="5" s="1"/>
  <c r="G32" i="5"/>
  <c r="M32" i="5" s="1"/>
  <c r="G27" i="5"/>
  <c r="M27" i="5" s="1"/>
  <c r="G23" i="5"/>
  <c r="M23" i="5" s="1"/>
  <c r="G18" i="5"/>
  <c r="M18" i="5" s="1"/>
  <c r="G14" i="5"/>
  <c r="M14" i="5" s="1"/>
  <c r="G3" i="5"/>
  <c r="M3" i="5" s="1"/>
  <c r="B55" i="4"/>
  <c r="B7" i="4"/>
  <c r="B29" i="4"/>
  <c r="B13" i="4"/>
  <c r="B16" i="4"/>
  <c r="C16" i="4" s="1"/>
  <c r="B18" i="4"/>
  <c r="B45" i="4"/>
  <c r="B32" i="4"/>
  <c r="B27" i="4"/>
  <c r="B64" i="4"/>
  <c r="B62" i="4"/>
  <c r="B14" i="4"/>
  <c r="B4" i="4"/>
  <c r="B30" i="4"/>
  <c r="B61" i="4"/>
  <c r="B48" i="4"/>
  <c r="B46" i="4"/>
  <c r="B5" i="4"/>
  <c r="A2" i="4"/>
  <c r="B2" i="4" s="1"/>
  <c r="B67" i="4"/>
  <c r="B51" i="4"/>
  <c r="B39" i="4"/>
  <c r="B23" i="4"/>
  <c r="B3" i="4"/>
  <c r="B57" i="4"/>
  <c r="B41" i="4"/>
  <c r="B25" i="4"/>
  <c r="B9" i="4"/>
  <c r="B60" i="4"/>
  <c r="B44" i="4"/>
  <c r="B28" i="4"/>
  <c r="B12" i="4"/>
  <c r="B58" i="4"/>
  <c r="B42" i="4"/>
  <c r="B26" i="4"/>
  <c r="B10" i="4"/>
  <c r="B63" i="4"/>
  <c r="B47" i="4"/>
  <c r="C47" i="4" s="1"/>
  <c r="B35" i="4"/>
  <c r="B19" i="4"/>
  <c r="B15" i="4"/>
  <c r="B53" i="4"/>
  <c r="B37" i="4"/>
  <c r="B21" i="4"/>
  <c r="B68" i="4"/>
  <c r="C68" i="4" s="1"/>
  <c r="B56" i="4"/>
  <c r="B40" i="4"/>
  <c r="B24" i="4"/>
  <c r="B8" i="4"/>
  <c r="B54" i="4"/>
  <c r="B38" i="4"/>
  <c r="B22" i="4"/>
  <c r="B6" i="4"/>
  <c r="B59" i="4"/>
  <c r="B43" i="4"/>
  <c r="B31" i="4"/>
  <c r="B11" i="4"/>
  <c r="B65" i="4"/>
  <c r="B49" i="4"/>
  <c r="B33" i="4"/>
  <c r="B17" i="4"/>
  <c r="B52" i="4"/>
  <c r="B36" i="4"/>
  <c r="B20" i="4"/>
  <c r="B66" i="4"/>
  <c r="C66" i="4" s="1"/>
  <c r="B50" i="4"/>
  <c r="B34" i="4"/>
  <c r="K30" i="5" a="1"/>
  <c r="H30" i="5" a="1"/>
  <c r="K58" i="5" a="1"/>
  <c r="H58" i="5" a="1"/>
  <c r="H67" i="5" a="1"/>
  <c r="K67" i="5" a="1"/>
  <c r="H61" i="5" a="1"/>
  <c r="H15" i="5" a="1"/>
  <c r="K15" i="5" a="1"/>
  <c r="H41" i="5" a="1"/>
  <c r="K41" i="5" a="1"/>
  <c r="H19" i="5" a="1"/>
  <c r="K72" i="5" a="1"/>
  <c r="K8" i="5" a="1"/>
  <c r="H8" i="5" a="1"/>
  <c r="K53" i="5" a="1"/>
  <c r="H53" i="5" a="1"/>
  <c r="H34" i="5" a="1"/>
  <c r="K34" i="5" a="1"/>
  <c r="H16" i="5" a="1"/>
  <c r="K16" i="5" a="1"/>
  <c r="H69" i="5" a="1"/>
  <c r="K69" i="5" a="1"/>
  <c r="H49" i="5" a="1"/>
  <c r="K49" i="5" a="1"/>
  <c r="K31" i="5" a="1"/>
  <c r="H31" i="5" a="1"/>
  <c r="K13" i="5" a="1"/>
  <c r="H13" i="5" a="1"/>
  <c r="H56" i="5" a="1"/>
  <c r="K46" i="5" a="1"/>
  <c r="K70" i="5" a="1"/>
  <c r="H70" i="5" a="1"/>
  <c r="H51" i="5" a="1"/>
  <c r="K51" i="5" a="1"/>
  <c r="K32" i="5" a="1"/>
  <c r="H32" i="5" a="1"/>
  <c r="H14" i="5" a="1"/>
  <c r="K14" i="5" a="1"/>
  <c r="K55" i="5" a="1"/>
  <c r="H45" i="5" a="1"/>
  <c r="K45" i="5" a="1"/>
  <c r="K71" i="5" a="1"/>
  <c r="H71" i="5" a="1"/>
  <c r="K7" i="5" a="1"/>
  <c r="H7" i="5" a="1"/>
  <c r="K24" i="5" a="1"/>
  <c r="H24" i="5" a="1"/>
  <c r="H47" i="5" a="1"/>
  <c r="K47" i="5" a="1"/>
  <c r="H68" i="5" a="1"/>
  <c r="K68" i="5" a="1"/>
  <c r="K48" i="5" a="1"/>
  <c r="H48" i="5" a="1"/>
  <c r="H29" i="5" a="1"/>
  <c r="K29" i="5" a="1"/>
  <c r="K12" i="5" a="1"/>
  <c r="H12" i="5" a="1"/>
  <c r="H65" i="5" a="1"/>
  <c r="K65" i="5" a="1"/>
  <c r="H43" i="5" a="1"/>
  <c r="K43" i="5" a="1"/>
  <c r="K26" i="5" a="1"/>
  <c r="H26" i="5" a="1"/>
  <c r="K6" i="5" a="1"/>
  <c r="H6" i="5" a="1"/>
  <c r="H55" i="5" a="1"/>
  <c r="K61" i="5" a="1"/>
  <c r="H66" i="5" a="1"/>
  <c r="K66" i="5" a="1"/>
  <c r="K44" i="5" a="1"/>
  <c r="H44" i="5" a="1"/>
  <c r="K27" i="5" a="1"/>
  <c r="H27" i="5" a="1"/>
  <c r="K3" i="5" a="1"/>
  <c r="H3" i="5" a="1"/>
  <c r="K37" i="5" a="1"/>
  <c r="H37" i="5" a="1"/>
  <c r="H20" i="5" a="1"/>
  <c r="K20" i="5" a="1"/>
  <c r="H28" i="5" a="1"/>
  <c r="K28" i="5" a="1"/>
  <c r="K52" i="5" a="1"/>
  <c r="H52" i="5" a="1"/>
  <c r="K50" i="5" a="1"/>
  <c r="H4" i="5" a="1"/>
  <c r="K4" i="5" a="1"/>
  <c r="H64" i="5" a="1"/>
  <c r="K64" i="5" a="1"/>
  <c r="H42" i="5" a="1"/>
  <c r="K42" i="5" a="1"/>
  <c r="H25" i="5" a="1"/>
  <c r="K25" i="5" a="1"/>
  <c r="K5" i="5" a="1"/>
  <c r="H5" i="5" a="1"/>
  <c r="H72" i="5" a="1"/>
  <c r="K60" i="5" a="1"/>
  <c r="H60" i="5" a="1"/>
  <c r="H39" i="5" a="1"/>
  <c r="K39" i="5" a="1"/>
  <c r="K22" i="5" a="1"/>
  <c r="H22" i="5" a="1"/>
  <c r="K2" i="5" a="1"/>
  <c r="H2" i="5" a="1"/>
  <c r="H62" i="5" a="1"/>
  <c r="K62" i="5" a="1"/>
  <c r="K40" i="5" a="1"/>
  <c r="H40" i="5" a="1"/>
  <c r="H23" i="5" a="1"/>
  <c r="K23" i="5" a="1"/>
  <c r="K56" i="5" a="1"/>
  <c r="K11" i="5" a="1"/>
  <c r="H11" i="5" a="1"/>
  <c r="K33" i="5" a="1"/>
  <c r="H33" i="5" a="1"/>
  <c r="K63" i="5" a="1"/>
  <c r="H63" i="5" a="1"/>
  <c r="H46" i="5" a="1"/>
  <c r="K59" i="5" a="1"/>
  <c r="H59" i="5" a="1"/>
  <c r="H38" i="5" a="1"/>
  <c r="K38" i="5" a="1"/>
  <c r="H21" i="5" a="1"/>
  <c r="K21" i="5" a="1"/>
  <c r="K19" i="5" a="1"/>
  <c r="H10" i="5" a="1"/>
  <c r="K10" i="5" a="1"/>
  <c r="H54" i="5" a="1"/>
  <c r="K54" i="5" a="1"/>
  <c r="K35" i="5" a="1"/>
  <c r="H35" i="5" a="1"/>
  <c r="K17" i="5" a="1"/>
  <c r="H17" i="5" a="1"/>
  <c r="H50" i="5" a="1"/>
  <c r="H9" i="5" a="1"/>
  <c r="K9" i="5" a="1"/>
  <c r="H57" i="5" a="1"/>
  <c r="K57" i="5" a="1"/>
  <c r="H36" i="5" a="1"/>
  <c r="K36" i="5" a="1"/>
  <c r="H18" i="5" a="1"/>
  <c r="K18" i="5" a="1"/>
  <c r="H30" i="5" l="1"/>
  <c r="I30" i="5" s="1"/>
  <c r="K30" i="5"/>
  <c r="L30" i="5" s="1"/>
  <c r="C28" i="4"/>
  <c r="K18" i="5"/>
  <c r="L18" i="5" s="1"/>
  <c r="H18" i="5"/>
  <c r="I18" i="5" s="1"/>
  <c r="K36" i="5"/>
  <c r="L36" i="5" s="1"/>
  <c r="H36" i="5"/>
  <c r="I36" i="5" s="1"/>
  <c r="K57" i="5"/>
  <c r="L57" i="5" s="1"/>
  <c r="H57" i="5"/>
  <c r="I57" i="5" s="1"/>
  <c r="K9" i="5"/>
  <c r="L9" i="5" s="1"/>
  <c r="H9" i="5"/>
  <c r="I9" i="5" s="1"/>
  <c r="H50" i="5"/>
  <c r="I50" i="5" s="1"/>
  <c r="H17" i="5"/>
  <c r="I17" i="5" s="1"/>
  <c r="K17" i="5"/>
  <c r="L17" i="5" s="1"/>
  <c r="H35" i="5"/>
  <c r="I35" i="5" s="1"/>
  <c r="K35" i="5"/>
  <c r="L35" i="5" s="1"/>
  <c r="K54" i="5"/>
  <c r="L54" i="5" s="1"/>
  <c r="H54" i="5"/>
  <c r="I54" i="5" s="1"/>
  <c r="K10" i="5"/>
  <c r="L10" i="5" s="1"/>
  <c r="H10" i="5"/>
  <c r="I10" i="5" s="1"/>
  <c r="K19" i="5"/>
  <c r="L19" i="5" s="1"/>
  <c r="K21" i="5"/>
  <c r="L21" i="5" s="1"/>
  <c r="H21" i="5"/>
  <c r="I21" i="5" s="1"/>
  <c r="K38" i="5"/>
  <c r="L38" i="5" s="1"/>
  <c r="H38" i="5"/>
  <c r="I38" i="5" s="1"/>
  <c r="H59" i="5"/>
  <c r="I59" i="5" s="1"/>
  <c r="K59" i="5"/>
  <c r="L59" i="5" s="1"/>
  <c r="H46" i="5"/>
  <c r="I46" i="5" s="1"/>
  <c r="H63" i="5"/>
  <c r="I63" i="5" s="1"/>
  <c r="K63" i="5"/>
  <c r="L63" i="5" s="1"/>
  <c r="H33" i="5"/>
  <c r="I33" i="5" s="1"/>
  <c r="K33" i="5"/>
  <c r="L33" i="5" s="1"/>
  <c r="H11" i="5"/>
  <c r="I11" i="5" s="1"/>
  <c r="K11" i="5"/>
  <c r="L11" i="5" s="1"/>
  <c r="K56" i="5"/>
  <c r="L56" i="5" s="1"/>
  <c r="K23" i="5"/>
  <c r="L23" i="5" s="1"/>
  <c r="H23" i="5"/>
  <c r="I23" i="5" s="1"/>
  <c r="H40" i="5"/>
  <c r="I40" i="5" s="1"/>
  <c r="K40" i="5"/>
  <c r="L40" i="5" s="1"/>
  <c r="K62" i="5"/>
  <c r="L62" i="5" s="1"/>
  <c r="H62" i="5"/>
  <c r="I62" i="5" s="1"/>
  <c r="H2" i="5"/>
  <c r="I2" i="5" s="1"/>
  <c r="K2" i="5"/>
  <c r="L2" i="5" s="1"/>
  <c r="H22" i="5"/>
  <c r="I22" i="5" s="1"/>
  <c r="K22" i="5"/>
  <c r="L22" i="5" s="1"/>
  <c r="K39" i="5"/>
  <c r="L39" i="5" s="1"/>
  <c r="H39" i="5"/>
  <c r="I39" i="5" s="1"/>
  <c r="H60" i="5"/>
  <c r="I60" i="5" s="1"/>
  <c r="K60" i="5"/>
  <c r="L60" i="5" s="1"/>
  <c r="H72" i="5"/>
  <c r="I72" i="5" s="1"/>
  <c r="H5" i="5"/>
  <c r="I5" i="5" s="1"/>
  <c r="K5" i="5"/>
  <c r="L5" i="5" s="1"/>
  <c r="K25" i="5"/>
  <c r="L25" i="5" s="1"/>
  <c r="H25" i="5"/>
  <c r="I25" i="5" s="1"/>
  <c r="K42" i="5"/>
  <c r="L42" i="5" s="1"/>
  <c r="H42" i="5"/>
  <c r="I42" i="5" s="1"/>
  <c r="K64" i="5"/>
  <c r="L64" i="5" s="1"/>
  <c r="H64" i="5"/>
  <c r="I64" i="5" s="1"/>
  <c r="K4" i="5"/>
  <c r="L4" i="5" s="1"/>
  <c r="H4" i="5"/>
  <c r="I4" i="5" s="1"/>
  <c r="K50" i="5"/>
  <c r="L50" i="5" s="1"/>
  <c r="H52" i="5"/>
  <c r="I52" i="5" s="1"/>
  <c r="K52" i="5"/>
  <c r="L52" i="5" s="1"/>
  <c r="K28" i="5"/>
  <c r="L28" i="5" s="1"/>
  <c r="H28" i="5"/>
  <c r="I28" i="5" s="1"/>
  <c r="K20" i="5"/>
  <c r="L20" i="5" s="1"/>
  <c r="H20" i="5"/>
  <c r="I20" i="5" s="1"/>
  <c r="H37" i="5"/>
  <c r="I37" i="5" s="1"/>
  <c r="K37" i="5"/>
  <c r="L37" i="5" s="1"/>
  <c r="H3" i="5"/>
  <c r="I3" i="5" s="1"/>
  <c r="K3" i="5"/>
  <c r="L3" i="5" s="1"/>
  <c r="H27" i="5"/>
  <c r="I27" i="5" s="1"/>
  <c r="K27" i="5"/>
  <c r="L27" i="5" s="1"/>
  <c r="H44" i="5"/>
  <c r="I44" i="5" s="1"/>
  <c r="K44" i="5"/>
  <c r="L44" i="5" s="1"/>
  <c r="K66" i="5"/>
  <c r="L66" i="5" s="1"/>
  <c r="H66" i="5"/>
  <c r="I66" i="5" s="1"/>
  <c r="K61" i="5"/>
  <c r="L61" i="5" s="1"/>
  <c r="H55" i="5"/>
  <c r="I55" i="5" s="1"/>
  <c r="H6" i="5"/>
  <c r="I6" i="5" s="1"/>
  <c r="K6" i="5"/>
  <c r="L6" i="5" s="1"/>
  <c r="H26" i="5"/>
  <c r="I26" i="5" s="1"/>
  <c r="K26" i="5"/>
  <c r="L26" i="5" s="1"/>
  <c r="K43" i="5"/>
  <c r="L43" i="5" s="1"/>
  <c r="H43" i="5"/>
  <c r="I43" i="5" s="1"/>
  <c r="K65" i="5"/>
  <c r="L65" i="5" s="1"/>
  <c r="H65" i="5"/>
  <c r="I65" i="5" s="1"/>
  <c r="H12" i="5"/>
  <c r="I12" i="5" s="1"/>
  <c r="K12" i="5"/>
  <c r="L12" i="5" s="1"/>
  <c r="K29" i="5"/>
  <c r="L29" i="5" s="1"/>
  <c r="H29" i="5"/>
  <c r="I29" i="5" s="1"/>
  <c r="H48" i="5"/>
  <c r="I48" i="5" s="1"/>
  <c r="K48" i="5"/>
  <c r="L48" i="5" s="1"/>
  <c r="K68" i="5"/>
  <c r="L68" i="5" s="1"/>
  <c r="H68" i="5"/>
  <c r="I68" i="5" s="1"/>
  <c r="K47" i="5"/>
  <c r="L47" i="5" s="1"/>
  <c r="H47" i="5"/>
  <c r="I47" i="5" s="1"/>
  <c r="H24" i="5"/>
  <c r="I24" i="5" s="1"/>
  <c r="K24" i="5"/>
  <c r="L24" i="5" s="1"/>
  <c r="H7" i="5"/>
  <c r="I7" i="5" s="1"/>
  <c r="K7" i="5"/>
  <c r="L7" i="5" s="1"/>
  <c r="H71" i="5"/>
  <c r="I71" i="5" s="1"/>
  <c r="K71" i="5"/>
  <c r="L71" i="5" s="1"/>
  <c r="K45" i="5"/>
  <c r="L45" i="5" s="1"/>
  <c r="H45" i="5"/>
  <c r="I45" i="5" s="1"/>
  <c r="K55" i="5"/>
  <c r="L55" i="5" s="1"/>
  <c r="K14" i="5"/>
  <c r="L14" i="5" s="1"/>
  <c r="H14" i="5"/>
  <c r="I14" i="5" s="1"/>
  <c r="H32" i="5"/>
  <c r="I32" i="5" s="1"/>
  <c r="K32" i="5"/>
  <c r="L32" i="5" s="1"/>
  <c r="K51" i="5"/>
  <c r="L51" i="5" s="1"/>
  <c r="H51" i="5"/>
  <c r="I51" i="5" s="1"/>
  <c r="H70" i="5"/>
  <c r="I70" i="5" s="1"/>
  <c r="K70" i="5"/>
  <c r="L70" i="5" s="1"/>
  <c r="K46" i="5"/>
  <c r="L46" i="5" s="1"/>
  <c r="H56" i="5"/>
  <c r="I56" i="5" s="1"/>
  <c r="H13" i="5"/>
  <c r="I13" i="5" s="1"/>
  <c r="K13" i="5"/>
  <c r="L13" i="5" s="1"/>
  <c r="H31" i="5"/>
  <c r="I31" i="5" s="1"/>
  <c r="K31" i="5"/>
  <c r="L31" i="5" s="1"/>
  <c r="K49" i="5"/>
  <c r="L49" i="5" s="1"/>
  <c r="H49" i="5"/>
  <c r="I49" i="5" s="1"/>
  <c r="K69" i="5"/>
  <c r="L69" i="5" s="1"/>
  <c r="H69" i="5"/>
  <c r="I69" i="5" s="1"/>
  <c r="K16" i="5"/>
  <c r="L16" i="5" s="1"/>
  <c r="H16" i="5"/>
  <c r="I16" i="5" s="1"/>
  <c r="K34" i="5"/>
  <c r="L34" i="5" s="1"/>
  <c r="H34" i="5"/>
  <c r="I34" i="5" s="1"/>
  <c r="H53" i="5"/>
  <c r="I53" i="5" s="1"/>
  <c r="K53" i="5"/>
  <c r="L53" i="5" s="1"/>
  <c r="H8" i="5"/>
  <c r="I8" i="5" s="1"/>
  <c r="K8" i="5"/>
  <c r="L8" i="5" s="1"/>
  <c r="K72" i="5"/>
  <c r="L72" i="5" s="1"/>
  <c r="H19" i="5"/>
  <c r="I19" i="5" s="1"/>
  <c r="K41" i="5"/>
  <c r="L41" i="5" s="1"/>
  <c r="H41" i="5"/>
  <c r="I41" i="5" s="1"/>
  <c r="K15" i="5"/>
  <c r="L15" i="5" s="1"/>
  <c r="H15" i="5"/>
  <c r="I15" i="5" s="1"/>
  <c r="H61" i="5"/>
  <c r="I61" i="5" s="1"/>
  <c r="K67" i="5"/>
  <c r="L67" i="5" s="1"/>
  <c r="H67" i="5"/>
  <c r="I67" i="5" s="1"/>
  <c r="H58" i="5"/>
  <c r="I58" i="5" s="1"/>
  <c r="K58" i="5"/>
  <c r="L58" i="5" s="1"/>
  <c r="C11" i="4"/>
  <c r="C8" i="4"/>
  <c r="C20" i="4"/>
  <c r="C22" i="4"/>
  <c r="C21" i="4"/>
  <c r="C10" i="4"/>
  <c r="C34" i="4"/>
  <c r="C49" i="4"/>
  <c r="C43" i="4"/>
  <c r="C38" i="4"/>
  <c r="C37" i="4"/>
  <c r="C35" i="4"/>
  <c r="C52" i="4"/>
  <c r="C65" i="4"/>
  <c r="C59" i="4"/>
  <c r="C56" i="4"/>
  <c r="C53" i="4"/>
  <c r="C42" i="4"/>
  <c r="C41" i="4"/>
  <c r="C39" i="4"/>
  <c r="C5" i="4"/>
  <c r="C30" i="4"/>
  <c r="C64" i="4"/>
  <c r="C7" i="4"/>
  <c r="C15" i="4"/>
  <c r="C58" i="4"/>
  <c r="C60" i="4"/>
  <c r="C46" i="4"/>
  <c r="C4" i="4"/>
  <c r="C12" i="4"/>
  <c r="C9" i="4"/>
  <c r="C3" i="4"/>
  <c r="C48" i="4"/>
  <c r="C14" i="4"/>
  <c r="C32" i="4"/>
  <c r="C26" i="4"/>
  <c r="C25" i="4"/>
  <c r="C61" i="4"/>
  <c r="C62" i="4"/>
  <c r="C45" i="4"/>
  <c r="C18" i="4" l="1"/>
  <c r="C6" i="4"/>
  <c r="C19" i="4"/>
  <c r="C29" i="4"/>
  <c r="C13" i="4"/>
  <c r="C55" i="4"/>
  <c r="C63" i="4"/>
  <c r="C40" i="4"/>
  <c r="C36" i="4"/>
  <c r="C33" i="4"/>
  <c r="C31" i="4"/>
  <c r="C2" i="4"/>
  <c r="C67" i="4"/>
  <c r="C51" i="4"/>
  <c r="C23" i="4"/>
  <c r="C27" i="4"/>
  <c r="C57" i="4"/>
  <c r="C44" i="4"/>
  <c r="C54" i="4"/>
  <c r="C50" i="4"/>
  <c r="C24" i="4"/>
  <c r="C1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<sst xmlns="http://schemas.openxmlformats.org/spreadsheetml/2006/main" count="1723" uniqueCount="606">
  <si>
    <t>CDC Melbourne</t>
  </si>
  <si>
    <t>Kinetic</t>
  </si>
  <si>
    <t>Ventura Bus Lines</t>
  </si>
  <si>
    <t>Dysons</t>
  </si>
  <si>
    <t>Panorama Coaches</t>
  </si>
  <si>
    <t>Transit Systems</t>
  </si>
  <si>
    <t>Kastoria Bus Lines</t>
  </si>
  <si>
    <t>Ryan Bros Bus Service</t>
  </si>
  <si>
    <t>Sunbury Bus Service</t>
  </si>
  <si>
    <t>Broadmeadows Bus Service</t>
  </si>
  <si>
    <t>Martyrs Bus Service</t>
  </si>
  <si>
    <t>McKenzies Tourist Service</t>
  </si>
  <si>
    <t>Cranbourne Transit</t>
  </si>
  <si>
    <t>695F</t>
  </si>
  <si>
    <t>Route</t>
  </si>
  <si>
    <t>Operator</t>
  </si>
  <si>
    <t>Operator 1</t>
  </si>
  <si>
    <t>Operator 2</t>
  </si>
  <si>
    <t>Ballarat</t>
  </si>
  <si>
    <t>CDC Ballarat</t>
  </si>
  <si>
    <t>Geelong</t>
  </si>
  <si>
    <t>CDC Geelong</t>
  </si>
  <si>
    <t>McHarrys Bus Lines</t>
  </si>
  <si>
    <t>Bendigo</t>
  </si>
  <si>
    <t>Christians Bus Company (Bendigo)</t>
  </si>
  <si>
    <t>Whitmore Bus Lines (Strathfieldsaye)</t>
  </si>
  <si>
    <t>Latrobe</t>
  </si>
  <si>
    <t>Latrobe Valley Bus Lines</t>
  </si>
  <si>
    <t>Warragul</t>
  </si>
  <si>
    <t>Warragul Bus Lines</t>
  </si>
  <si>
    <t>Horsham</t>
  </si>
  <si>
    <t>Stawell</t>
  </si>
  <si>
    <t>Sandlant Buses</t>
  </si>
  <si>
    <t>Ararat</t>
  </si>
  <si>
    <t>Christians Bus Company (Ararat)</t>
  </si>
  <si>
    <t>Bacchus Marsh</t>
  </si>
  <si>
    <t>Hamilton</t>
  </si>
  <si>
    <t>Trotters Coaches</t>
  </si>
  <si>
    <t>Maryborough</t>
  </si>
  <si>
    <t>Whitmore Bus Lines (Maryborough)</t>
  </si>
  <si>
    <t>Town</t>
  </si>
  <si>
    <t>Alpine Ranges</t>
  </si>
  <si>
    <t>Dysons (Bairnsdale)</t>
  </si>
  <si>
    <t>Bairnsdale</t>
  </si>
  <si>
    <t>Gillicks Bus Lines</t>
  </si>
  <si>
    <t>Lakes Entrance</t>
  </si>
  <si>
    <t>Sale</t>
  </si>
  <si>
    <t>Little's Gippsland Coaches</t>
  </si>
  <si>
    <t>Castlemaine</t>
  </si>
  <si>
    <t>Whitmore Bus Lines (Castlemaine)</t>
  </si>
  <si>
    <t>Echuca</t>
  </si>
  <si>
    <t>Newton's Bus Service</t>
  </si>
  <si>
    <t>Rochester</t>
  </si>
  <si>
    <t>Kyneton</t>
  </si>
  <si>
    <t>Shepparton</t>
  </si>
  <si>
    <t>Dysons (Shepparton)</t>
  </si>
  <si>
    <t>Mooroopna</t>
  </si>
  <si>
    <t>Jacobson Coach Tours</t>
  </si>
  <si>
    <t>Mildura</t>
  </si>
  <si>
    <t>CDC Mildura</t>
  </si>
  <si>
    <t>100/200</t>
  </si>
  <si>
    <t>211/311/312</t>
  </si>
  <si>
    <t>250/300</t>
  </si>
  <si>
    <t>Benalla</t>
  </si>
  <si>
    <t>Benalla Bus Lines</t>
  </si>
  <si>
    <t>Seymour</t>
  </si>
  <si>
    <t>Seymour Coaches</t>
  </si>
  <si>
    <t>Wallan</t>
  </si>
  <si>
    <t>A</t>
  </si>
  <si>
    <t>Kilmore</t>
  </si>
  <si>
    <t>Wangaratta</t>
  </si>
  <si>
    <t>Colac</t>
  </si>
  <si>
    <t>Christians Bus Company (Colac)</t>
  </si>
  <si>
    <t>Portland</t>
  </si>
  <si>
    <t>Portland Bus Lines</t>
  </si>
  <si>
    <t>Warrnambool</t>
  </si>
  <si>
    <t>Warrnambool Bus Lines</t>
  </si>
  <si>
    <t>Cobram</t>
  </si>
  <si>
    <t>Korumburra</t>
  </si>
  <si>
    <t>Harley's Bus Lines</t>
  </si>
  <si>
    <t>Swan Hill</t>
  </si>
  <si>
    <t>Maffra</t>
  </si>
  <si>
    <t>Albury</t>
  </si>
  <si>
    <t>Dysons (Wodonga)</t>
  </si>
  <si>
    <t>Martin's Albury</t>
  </si>
  <si>
    <t>Wodonga</t>
  </si>
  <si>
    <t>AW</t>
  </si>
  <si>
    <t>B</t>
  </si>
  <si>
    <t>C</t>
  </si>
  <si>
    <t>E</t>
  </si>
  <si>
    <t>F</t>
  </si>
  <si>
    <t>G</t>
  </si>
  <si>
    <t>M</t>
  </si>
  <si>
    <t>O</t>
  </si>
  <si>
    <t>S</t>
  </si>
  <si>
    <t>T</t>
  </si>
  <si>
    <t>WS</t>
  </si>
  <si>
    <t>Region</t>
  </si>
  <si>
    <t>Route Number</t>
  </si>
  <si>
    <t>6-54n</t>
  </si>
  <si>
    <t>Traralgon - Wonthaggi</t>
  </si>
  <si>
    <t>South Coast Bus</t>
  </si>
  <si>
    <t>6-855</t>
  </si>
  <si>
    <t>Traralgon - Yarram</t>
  </si>
  <si>
    <t>6-858</t>
  </si>
  <si>
    <t>Myrtleford - Wangaratta</t>
  </si>
  <si>
    <t>Dysons (Wangaratta)</t>
  </si>
  <si>
    <t>6-86N</t>
  </si>
  <si>
    <t>Horsham - Kaniva</t>
  </si>
  <si>
    <t>Wimmera Roadways</t>
  </si>
  <si>
    <t>6-89x</t>
  </si>
  <si>
    <t>Daylesford - Hepburn</t>
  </si>
  <si>
    <t>6-947</t>
  </si>
  <si>
    <t>Sale - Stratford</t>
  </si>
  <si>
    <t>6-960</t>
  </si>
  <si>
    <t>Mulwala - Wangaratta</t>
  </si>
  <si>
    <t>6-973</t>
  </si>
  <si>
    <t>Leongatha - Wonthaggi</t>
  </si>
  <si>
    <t>Westernport Roadlines</t>
  </si>
  <si>
    <t>6-977</t>
  </si>
  <si>
    <t>Coronet Bay - Wonthaggi</t>
  </si>
  <si>
    <t>6-976</t>
  </si>
  <si>
    <t>Cape Paterson - Wonthaggi</t>
  </si>
  <si>
    <t>6-994</t>
  </si>
  <si>
    <t>Mortlake - Warrnambool</t>
  </si>
  <si>
    <t>Coles Coaches</t>
  </si>
  <si>
    <t>6-99x</t>
  </si>
  <si>
    <t>Ballan - Mount Egerton</t>
  </si>
  <si>
    <t>6-99y</t>
  </si>
  <si>
    <t>Ballan - Hepburn</t>
  </si>
  <si>
    <t>6-a23</t>
  </si>
  <si>
    <t>6-a25</t>
  </si>
  <si>
    <t>Hamilton - Portland</t>
  </si>
  <si>
    <t>6-a29</t>
  </si>
  <si>
    <t>6-a34</t>
  </si>
  <si>
    <t>6-a44</t>
  </si>
  <si>
    <t>6-959</t>
  </si>
  <si>
    <t>Chiltern - Wangaratta</t>
  </si>
  <si>
    <t>6-a47</t>
  </si>
  <si>
    <t>6-a50</t>
  </si>
  <si>
    <t>Alvie - Colac</t>
  </si>
  <si>
    <t>6-alb</t>
  </si>
  <si>
    <t>Ararat - Lake Bolac</t>
  </si>
  <si>
    <t>6-alc</t>
  </si>
  <si>
    <t>6-ALX</t>
  </si>
  <si>
    <t>Alexandra - Marysville</t>
  </si>
  <si>
    <t>Ararat - Ararat Prison</t>
  </si>
  <si>
    <t>6-ArM</t>
  </si>
  <si>
    <t>Ararat - Maryborough</t>
  </si>
  <si>
    <t>6-ArS</t>
  </si>
  <si>
    <t>Ararat - Stawell</t>
  </si>
  <si>
    <t>6-BGN</t>
  </si>
  <si>
    <t>Bendigo - Goornong</t>
  </si>
  <si>
    <t>6-Bor</t>
  </si>
  <si>
    <t>Bendigo - Boort</t>
  </si>
  <si>
    <t>6-BxW</t>
  </si>
  <si>
    <t>Bendigo - Woomelang</t>
  </si>
  <si>
    <t>6-CMO</t>
  </si>
  <si>
    <t>Colac - Marengo</t>
  </si>
  <si>
    <t>Hutchinson Buslines</t>
  </si>
  <si>
    <t>6-Eur</t>
  </si>
  <si>
    <t>Euroa - Shepparton</t>
  </si>
  <si>
    <t>6-GIV</t>
  </si>
  <si>
    <t>Geelong - Inverleigh</t>
  </si>
  <si>
    <t>6-gvc</t>
  </si>
  <si>
    <t>Coronet Bay - Grantville</t>
  </si>
  <si>
    <t>6-hea</t>
  </si>
  <si>
    <t>Bendigo - Heathcote</t>
  </si>
  <si>
    <t>Organ's Coaches</t>
  </si>
  <si>
    <t>6-hep</t>
  </si>
  <si>
    <t>Creswick - Hepburn</t>
  </si>
  <si>
    <t>6-Hpt</t>
  </si>
  <si>
    <t>Hamilton - Penshurst</t>
  </si>
  <si>
    <t>6-KeE</t>
  </si>
  <si>
    <t>Echuca - Kerang</t>
  </si>
  <si>
    <t>Dysons (Moama)</t>
  </si>
  <si>
    <t>6-KWR</t>
  </si>
  <si>
    <t>Koo Wee Rup - Pakenham</t>
  </si>
  <si>
    <t>6-Kym</t>
  </si>
  <si>
    <t>Kyneton - Malmsbury</t>
  </si>
  <si>
    <t>6-LcS</t>
  </si>
  <si>
    <t>Dysons (Kyneton)</t>
  </si>
  <si>
    <t>6-LGs</t>
  </si>
  <si>
    <t>Gisborne - Lancefield</t>
  </si>
  <si>
    <t>6-mal</t>
  </si>
  <si>
    <t>Genoa - Mallacoota</t>
  </si>
  <si>
    <t>Mallacoota Explorer Tours</t>
  </si>
  <si>
    <t>6-MLH</t>
  </si>
  <si>
    <t>Horsham - Mildura</t>
  </si>
  <si>
    <t>6-MiS</t>
  </si>
  <si>
    <t>Mildura - Sea Lake</t>
  </si>
  <si>
    <t>6-MtE</t>
  </si>
  <si>
    <t>Ballarat - Mount Egerton</t>
  </si>
  <si>
    <t>6-Nar</t>
  </si>
  <si>
    <t>Horsham - Naracoorte</t>
  </si>
  <si>
    <t>6-ome</t>
  </si>
  <si>
    <t>Bright - Omeo</t>
  </si>
  <si>
    <t>6-Ouy</t>
  </si>
  <si>
    <t>Ouyen - Pinnaroo</t>
  </si>
  <si>
    <t>6-R11</t>
  </si>
  <si>
    <t>Donald - Horsham</t>
  </si>
  <si>
    <t>6-MtB</t>
  </si>
  <si>
    <t>Albury - Mount Beauty</t>
  </si>
  <si>
    <t>Falls Creek Coach Service</t>
  </si>
  <si>
    <t>6-MUR</t>
  </si>
  <si>
    <t>Murtoa - Rupanyup</t>
  </si>
  <si>
    <t>6-R12</t>
  </si>
  <si>
    <t>Sea Lake - Swan Hill</t>
  </si>
  <si>
    <t>6-R13</t>
  </si>
  <si>
    <t>Birchip - Horsham</t>
  </si>
  <si>
    <t>6-R14</t>
  </si>
  <si>
    <t>Hopetoun - Horsham</t>
  </si>
  <si>
    <t>6-R22</t>
  </si>
  <si>
    <t>Ballarat - Stawell</t>
  </si>
  <si>
    <t>6-R53</t>
  </si>
  <si>
    <t>Cheshunt - Wangaratta</t>
  </si>
  <si>
    <t>6-rok</t>
  </si>
  <si>
    <t>Rokewood - Ballarat</t>
  </si>
  <si>
    <t>6-R95</t>
  </si>
  <si>
    <t>Kyneton - Woodend</t>
  </si>
  <si>
    <t>6-RsK</t>
  </si>
  <si>
    <t>Kyneton - Lancefield</t>
  </si>
  <si>
    <t>6-R21</t>
  </si>
  <si>
    <t>Mildura - Robinvale</t>
  </si>
  <si>
    <t>Zaffina Bus Lines</t>
  </si>
  <si>
    <t>6-SBO</t>
  </si>
  <si>
    <t>Bendigo - Shepparton</t>
  </si>
  <si>
    <t>6-Sea</t>
  </si>
  <si>
    <t>Sale - Seaspray</t>
  </si>
  <si>
    <t>6-StA</t>
  </si>
  <si>
    <t>6-StS</t>
  </si>
  <si>
    <t>6-StH</t>
  </si>
  <si>
    <t>Horsham - Stawell</t>
  </si>
  <si>
    <t>6-Tim</t>
  </si>
  <si>
    <t>Camperdown - Timboon</t>
  </si>
  <si>
    <t>Popes Bus Lines</t>
  </si>
  <si>
    <t>6-Tal</t>
  </si>
  <si>
    <t>Albury - Tallangatta</t>
  </si>
  <si>
    <t>Cavanagh's Bus Service</t>
  </si>
  <si>
    <t>6-WGP</t>
  </si>
  <si>
    <t>Poowong East - Warragul</t>
  </si>
  <si>
    <t>6-Woo</t>
  </si>
  <si>
    <t>Mansfield - Woods Point</t>
  </si>
  <si>
    <t>6-Wyc</t>
  </si>
  <si>
    <t>Swan Hill - Wycheproof</t>
  </si>
  <si>
    <t>6-WPC</t>
  </si>
  <si>
    <t>Timboon - Warrnambool</t>
  </si>
  <si>
    <t>6-YFR</t>
  </si>
  <si>
    <t>6-Apr</t>
  </si>
  <si>
    <t>Route GTFS ID (Temporary)</t>
  </si>
  <si>
    <t>Route Name</t>
  </si>
  <si>
    <t>checked</t>
  </si>
  <si>
    <t>Cowes - Wonthaggi</t>
  </si>
  <si>
    <t>need to confirm if LVBL</t>
  </si>
  <si>
    <t>Christians Bus Company (Bacchus Marsh)</t>
  </si>
  <si>
    <t>Corryong Bus &amp; Freight</t>
  </si>
  <si>
    <t>Christians Bus Company (Ballarat)</t>
  </si>
  <si>
    <t>Cowes - Fountain Gate</t>
  </si>
  <si>
    <t>BusBiz (Swan Hill)</t>
  </si>
  <si>
    <t>Smythesdale</t>
  </si>
  <si>
    <t>C27</t>
  </si>
  <si>
    <t>Eildon</t>
  </si>
  <si>
    <t>V63</t>
  </si>
  <si>
    <t>Gisborne</t>
  </si>
  <si>
    <t>Gisborne Transit</t>
  </si>
  <si>
    <t>null</t>
  </si>
  <si>
    <t>6-984</t>
  </si>
  <si>
    <t>Albury - Corowa via Howlong</t>
  </si>
  <si>
    <t>6-DWB</t>
  </si>
  <si>
    <t>Wangaratta-Bright</t>
  </si>
  <si>
    <t>Bright - Wangaratta</t>
  </si>
  <si>
    <t>6-R54</t>
  </si>
  <si>
    <t>Dudley</t>
  </si>
  <si>
    <t>Albury - Corryong</t>
  </si>
  <si>
    <t>6-a28</t>
  </si>
  <si>
    <t>tv</t>
  </si>
  <si>
    <t>Swan Hill - Tooleybuc</t>
  </si>
  <si>
    <t>6-a31</t>
  </si>
  <si>
    <t>Albury - Beechworth</t>
  </si>
  <si>
    <t>Albury - Myrtleford</t>
  </si>
  <si>
    <t>6-a48</t>
  </si>
  <si>
    <t>North</t>
  </si>
  <si>
    <t>6-a49</t>
  </si>
  <si>
    <t>South</t>
  </si>
  <si>
    <t>Albury - Corowa via Chiltern</t>
  </si>
  <si>
    <t>Fallons Bus Service (Alexandra)</t>
  </si>
  <si>
    <t>Fallons Bus Service (Wangaratta)</t>
  </si>
  <si>
    <t>Canns Bus Lines</t>
  </si>
  <si>
    <t>need to confirm if Dysons or Benalla BL</t>
  </si>
  <si>
    <t>Henty Highway Coach</t>
  </si>
  <si>
    <t>trotters or GB?</t>
  </si>
  <si>
    <t>Yarrawonga &amp; Mulwala Taxis</t>
  </si>
  <si>
    <t>Mulwala &amp; Yarrawonga Flexiride</t>
  </si>
  <si>
    <t>Fallons Bus Service (Cobram)</t>
  </si>
  <si>
    <t>Littles Coaches (Ballarat)</t>
  </si>
  <si>
    <t>Littles Coaches (Daylesford)</t>
  </si>
  <si>
    <t>6-946</t>
  </si>
  <si>
    <t>Swan Hill Schools - AM</t>
  </si>
  <si>
    <t>Swan Hill Schools - PM</t>
  </si>
  <si>
    <t>https://www.dysongroup.com.au</t>
  </si>
  <si>
    <t>Website</t>
  </si>
  <si>
    <t>Phone</t>
  </si>
  <si>
    <t>(03) 5722 9255</t>
  </si>
  <si>
    <t>(03) 5872 1800</t>
  </si>
  <si>
    <t>(03) 5772 1768</t>
  </si>
  <si>
    <t>40 Johnston Street, Alexandra, Vic 3714</t>
  </si>
  <si>
    <t>14 Sinclair Drive, Wangaratta, Vic 3766</t>
  </si>
  <si>
    <t>79-83 Karook Street, Cobram, VIC 3644</t>
  </si>
  <si>
    <t>https://www.fallonsbusservice.com.au/routes/cobram-town-service</t>
  </si>
  <si>
    <t>https://www.fallonsbusservice.com.au/routes/wangaratta-town-service</t>
  </si>
  <si>
    <t>https://www.fallonsbusservice.com.au/makebooking/fallons-alexandra</t>
  </si>
  <si>
    <t>(03) 5754 4024</t>
  </si>
  <si>
    <t>233 Kiewa Valley Hwy, Tawonga South, VIC 3698</t>
  </si>
  <si>
    <t>https://fallscreekcoachservice.com.au/</t>
  </si>
  <si>
    <t>121 McKimmies Road, Bundoora, vic 3083</t>
  </si>
  <si>
    <t>(03) 9463 3800</t>
  </si>
  <si>
    <t>https://www.dysongroup.com.au/about/depots/bairnsdale</t>
  </si>
  <si>
    <t>120 McMillan Street Bairnsdale VIC 3875</t>
  </si>
  <si>
    <t>(03) 5152 1711</t>
  </si>
  <si>
    <t>22 Bourke Street Kyneton VIC 3444</t>
  </si>
  <si>
    <t>(03) 5422 1634</t>
  </si>
  <si>
    <t>https://www.dysongroup.com.au/about/depots/kyneton</t>
  </si>
  <si>
    <t>19 Graham Street Moama NSW 2731</t>
  </si>
  <si>
    <t>(03) 5480 2139</t>
  </si>
  <si>
    <t>https://www.dysongroup.com.au/about/depots/moama</t>
  </si>
  <si>
    <t>5 Fordyce Street Shepparton VIC 3630</t>
  </si>
  <si>
    <t>(03) 5831 2150</t>
  </si>
  <si>
    <t>https://www.dysongroup.com.au/about/depots/shepparton</t>
  </si>
  <si>
    <t>https://www.dysongroup.com.au/about/depots/wangaratta</t>
  </si>
  <si>
    <t>(03) 5722 1843</t>
  </si>
  <si>
    <t>18-32 Osboldstone Road Wangaratta VIC 3677</t>
  </si>
  <si>
    <t>https://www.dysongroup.com.au/about/depots/wodonga</t>
  </si>
  <si>
    <t>(02) 6056 3100</t>
  </si>
  <si>
    <t>18 Moloney Drive Wodonga VIC 3690</t>
  </si>
  <si>
    <t>Dysons (Sale)</t>
  </si>
  <si>
    <t>https://www.dysongroup.com.au/about/depots/sale</t>
  </si>
  <si>
    <t>(03) 5144 2623</t>
  </si>
  <si>
    <t>324 Raglan Street Sale VIC 3850</t>
  </si>
  <si>
    <t>http://littlesgippslandcoaches.com.au/</t>
  </si>
  <si>
    <t>https://www.gisbornetransit.com.au/</t>
  </si>
  <si>
    <t>(03) 9744 1177</t>
  </si>
  <si>
    <t>https://www.venturabus.com.au/</t>
  </si>
  <si>
    <t>81 Cheltenham Road, Dandenong VIC 3175</t>
  </si>
  <si>
    <t>9 McDougall Rd Sunbury VIC 3429</t>
  </si>
  <si>
    <t>https://www.benallabuslines.com.au/</t>
  </si>
  <si>
    <t>(03) 5762 6566</t>
  </si>
  <si>
    <t xml:space="preserve">6 Nunn Street, Benalla, Vic </t>
  </si>
  <si>
    <t>(03) 5032 1068</t>
  </si>
  <si>
    <t>https://www.busbiz.net.au/regional-bus-services</t>
  </si>
  <si>
    <t>25 Thurla Street Swan Hill VIC 3585</t>
  </si>
  <si>
    <t>https://nationwidetours.com.au/broadmeadows-bus/</t>
  </si>
  <si>
    <t>(03) 9338 1844</t>
  </si>
  <si>
    <t>21-29 Western Avenue Westmeadows VIC 3049</t>
  </si>
  <si>
    <t>https://nationwidetours.com.au/kastoria/</t>
  </si>
  <si>
    <t>https://seymourcoaches.com.au/</t>
  </si>
  <si>
    <t>(03) 5792 1181</t>
  </si>
  <si>
    <t>45 Highlands Road Seymour Vic 3660</t>
  </si>
  <si>
    <t>324 Raglan St, Sale VIC 3850</t>
  </si>
  <si>
    <t>https://cdcvictoria.com.au/</t>
  </si>
  <si>
    <t>(03) 9977 9999</t>
  </si>
  <si>
    <t xml:space="preserve"> 28 Prosperity Street, Truganina, VIC, 3029</t>
  </si>
  <si>
    <t>(03) 5331 7777</t>
  </si>
  <si>
    <t xml:space="preserve"> 804 Norman St, Invermay Park VIC 3350</t>
  </si>
  <si>
    <t>(03) 5240 5000</t>
  </si>
  <si>
    <t>65 Edols St, North Geelong, Vic 3215</t>
  </si>
  <si>
    <t>(03) 5023 0274</t>
  </si>
  <si>
    <t>8 – 10 Bathurst Court, Mildura, VIC 3500</t>
  </si>
  <si>
    <t>https://cdcvictoria.com.au/travel-information/timetables-and-maps/mildura/</t>
  </si>
  <si>
    <t>https://cdcvictoria.com.au/travel-information/timetables-and-maps/ballarat/</t>
  </si>
  <si>
    <t>https://cdcvictoria.com.au/travel-information/timetables-and-maps/geelong/</t>
  </si>
  <si>
    <t>https://www.cranbournetransit.com.au/</t>
  </si>
  <si>
    <t>(03) 5996 7333</t>
  </si>
  <si>
    <t>24 Arundel Street Cranbourne, Victoria 3977</t>
  </si>
  <si>
    <t>https://www.wearekinetic.com/au/melbourne</t>
  </si>
  <si>
    <t>(03) 9492 2200</t>
  </si>
  <si>
    <t>PO Box 441 North Melbourne VIC 3051</t>
  </si>
  <si>
    <t>https://martyrs.com.au/</t>
  </si>
  <si>
    <t>(03) 5966 2035</t>
  </si>
  <si>
    <t>30 Kellys Road, Warburton, VIC, 3799</t>
  </si>
  <si>
    <t>https://www.mckenzies.com.au/</t>
  </si>
  <si>
    <t>(03) 5962 5088</t>
  </si>
  <si>
    <t>https://www.panoramacoaches.com.au/</t>
  </si>
  <si>
    <t>(03) 9438 3666</t>
  </si>
  <si>
    <t>103 Main Hurstbridge Road Diamond Creek, Vic 3089</t>
  </si>
  <si>
    <t>https://www.transitsystems.com.au/victoria-bus-information</t>
  </si>
  <si>
    <t>(03) 9689 7999</t>
  </si>
  <si>
    <t>1 Sunshine Road, West Footscray, Victoria 3012</t>
  </si>
  <si>
    <t>(03) 9335 4666</t>
  </si>
  <si>
    <t>http://ryansbus.com.au/index.php/en/</t>
  </si>
  <si>
    <t>11 Beverage Drive, Tullamarine, Vic 3043</t>
  </si>
  <si>
    <t>https://www.sunburycoaches.com.au/</t>
  </si>
  <si>
    <t>https://christiansbus.com.au/public-buses/ararat-bus-timetable/</t>
  </si>
  <si>
    <t>(03) 5352 1501</t>
  </si>
  <si>
    <t>261 Barkly Street Ararat VIC 3377</t>
  </si>
  <si>
    <t>(03) 5366 3444</t>
  </si>
  <si>
    <t>3 Station St Maddingley vic 3340</t>
  </si>
  <si>
    <t>(03) 5335 5005</t>
  </si>
  <si>
    <t>9-11 Martin Drive Delacombe vic 3356</t>
  </si>
  <si>
    <t>(03) 5443 9333</t>
  </si>
  <si>
    <t>132 Spring Gully Road Spring Gully vic 3550</t>
  </si>
  <si>
    <t>(03) 5231 2203</t>
  </si>
  <si>
    <t>405 Murray Street Colac vic 3250</t>
  </si>
  <si>
    <t>https://sandlantbus.com.au/</t>
  </si>
  <si>
    <t>(03) 5356 9342</t>
  </si>
  <si>
    <t>7 Mckinley Avenue LANDSBOROUGH vic 3384</t>
  </si>
  <si>
    <t>https://christiansbus.com.au/public-buses/bacchus-marsh-buses/</t>
  </si>
  <si>
    <t>https://christiansbus.com.au/public-buses/ballarat-buses/</t>
  </si>
  <si>
    <t>https://christiansbus.com.au/public-buses/bendigo-bus-timetable/</t>
  </si>
  <si>
    <t>https://christiansbus.com.au/public-buses/colac-bus-timetable/</t>
  </si>
  <si>
    <t>https://whitmoregroup.com.au/</t>
  </si>
  <si>
    <t>(03) 5472 1455</t>
  </si>
  <si>
    <t>2E Thistle St, Golden Square VIC 3555</t>
  </si>
  <si>
    <t>3 Main Rd, Chewton VIC 3451</t>
  </si>
  <si>
    <t>https://hutchinsonsbuslines.com.au/</t>
  </si>
  <si>
    <t>(03) 5236 2214</t>
  </si>
  <si>
    <t xml:space="preserve">	4-6 Sladen St Birregurra VIC 3242</t>
  </si>
  <si>
    <t>https://newtonsbusservices.com.au/</t>
  </si>
  <si>
    <t xml:space="preserve">(03) 5223 2111 </t>
  </si>
  <si>
    <t>6 Reeves Court, Breakwater vic 3219</t>
  </si>
  <si>
    <t>13 Lilydale Road, Healesville vic 3777</t>
  </si>
  <si>
    <t>https://mcharrys.com.au/</t>
  </si>
  <si>
    <t>7-9 Fuller Avenue ROCHESTER VIC 3561</t>
  </si>
  <si>
    <t>(03) 5484 1129</t>
  </si>
  <si>
    <t>https://trotterscoaches.com.au/</t>
  </si>
  <si>
    <t>18-20 Andrews Street, Hamilton Vic 3300</t>
  </si>
  <si>
    <t>0419 226 806</t>
  </si>
  <si>
    <t>http://www.warragulbuslines.com.au/</t>
  </si>
  <si>
    <t>(03) 5623 5377</t>
  </si>
  <si>
    <t>https://www.organscoaches.com.au/</t>
  </si>
  <si>
    <t>32 Yaldwyn Street West Kyneton, Vic 3444</t>
  </si>
  <si>
    <t>(03) 5422 1788</t>
  </si>
  <si>
    <t>https://wimmeraroadways.com.au/</t>
  </si>
  <si>
    <t>(03) 5381 1548</t>
  </si>
  <si>
    <t>7 King Drive, Horsham VIC 3400</t>
  </si>
  <si>
    <t>(03) 5997 2211</t>
  </si>
  <si>
    <t>(03) 9771 4300</t>
  </si>
  <si>
    <t>https://westernportroadlines.com.au/</t>
  </si>
  <si>
    <t xml:space="preserve"> 23 Burke St Warragul VIC 3820</t>
  </si>
  <si>
    <t>90 Moody Street Koo Wee Rup VIC 3981</t>
  </si>
  <si>
    <t>(03) 5135 4700</t>
  </si>
  <si>
    <t>https://www.lvbl.com.au/</t>
  </si>
  <si>
    <t xml:space="preserve"> 4-10 Ryan Street, Morwell Vic 3840</t>
  </si>
  <si>
    <t>https://www.southcoastbus.com.au/</t>
  </si>
  <si>
    <t>(03) 5952 2500</t>
  </si>
  <si>
    <t>44-46 The Concourse, Cowes, VIC 3922</t>
  </si>
  <si>
    <t>https://colescoaches.com.au/</t>
  </si>
  <si>
    <t>16 Essington Street, Grovedale VIC 3216</t>
  </si>
  <si>
    <t>(03) 5243 8772</t>
  </si>
  <si>
    <t>https://www.gillicksbuslines.com.au/</t>
  </si>
  <si>
    <t>0418 516 405</t>
  </si>
  <si>
    <t xml:space="preserve">17-19 Lawless Street Bairnsdale, Victoria, 3875 </t>
  </si>
  <si>
    <t>https://martinsalbury.com.au/</t>
  </si>
  <si>
    <t>(02) 6040 4400</t>
  </si>
  <si>
    <t>66 Fallon St Albury NSW 2640</t>
  </si>
  <si>
    <t>https://www.facebook.com/people/Zaffina-Bus-Lines-Robinvale/100054471610179/</t>
  </si>
  <si>
    <t>0438 460 756</t>
  </si>
  <si>
    <t>34 Williams Road, Robinvale VIC 3549</t>
  </si>
  <si>
    <t>(03) 5339 6600</t>
  </si>
  <si>
    <t>12/39 East St, Daylesford VIC 3460</t>
  </si>
  <si>
    <t>9 Waringa Dr, Mitchell Park VIC 3355</t>
  </si>
  <si>
    <t>(03) 5523 5811</t>
  </si>
  <si>
    <t>https://www.warbus.com.au/</t>
  </si>
  <si>
    <t>(03) 5562 1866</t>
  </si>
  <si>
    <t>1 Wannon St, Warrnambool VIC 3281</t>
  </si>
  <si>
    <t xml:space="preserve">171 Garden Street, Portland VIC 3305 </t>
  </si>
  <si>
    <t>Address</t>
  </si>
  <si>
    <t>Colour (Odd)</t>
  </si>
  <si>
    <t>Colour (Even)</t>
  </si>
  <si>
    <t>31467f</t>
  </si>
  <si>
    <t>1d2e5e</t>
  </si>
  <si>
    <t>305fb3</t>
  </si>
  <si>
    <t>1f3e74</t>
  </si>
  <si>
    <t>2e2e8f</t>
  </si>
  <si>
    <t>0559a6</t>
  </si>
  <si>
    <t>0a4a85</t>
  </si>
  <si>
    <t>0c4987</t>
  </si>
  <si>
    <t>0c539b</t>
  </si>
  <si>
    <t>44478f</t>
  </si>
  <si>
    <t>383a76</t>
  </si>
  <si>
    <t>b50303</t>
  </si>
  <si>
    <t>9b0909</t>
  </si>
  <si>
    <t>1080a3</t>
  </si>
  <si>
    <t>0f6d89</t>
  </si>
  <si>
    <t>192d17</t>
  </si>
  <si>
    <t>d50d0d</t>
  </si>
  <si>
    <t>b51010</t>
  </si>
  <si>
    <t>08426a</t>
  </si>
  <si>
    <t>022a44</t>
  </si>
  <si>
    <t>153b50</t>
  </si>
  <si>
    <t>1163a4</t>
  </si>
  <si>
    <t>14315b</t>
  </si>
  <si>
    <t>0c1d36</t>
  </si>
  <si>
    <t>4263cd</t>
  </si>
  <si>
    <t>3856b7</t>
  </si>
  <si>
    <t>b40e3a</t>
  </si>
  <si>
    <t>8c1131</t>
  </si>
  <si>
    <t>272b69</t>
  </si>
  <si>
    <t>181d55</t>
  </si>
  <si>
    <t>711c2b</t>
  </si>
  <si>
    <t>5e1824</t>
  </si>
  <si>
    <t>12377c</t>
  </si>
  <si>
    <t>0f2c61</t>
  </si>
  <si>
    <t>28ab0e</t>
  </si>
  <si>
    <t>23910d</t>
  </si>
  <si>
    <t>047172</t>
  </si>
  <si>
    <t>055758</t>
  </si>
  <si>
    <t>003366</t>
  </si>
  <si>
    <t>032242</t>
  </si>
  <si>
    <t>ba0368</t>
  </si>
  <si>
    <t>a8055e</t>
  </si>
  <si>
    <t>2c4269</t>
  </si>
  <si>
    <t>f99d31</t>
  </si>
  <si>
    <t>d2872f</t>
  </si>
  <si>
    <t>07b50f</t>
  </si>
  <si>
    <t>07960e</t>
  </si>
  <si>
    <t>09633e</t>
  </si>
  <si>
    <t>03452a</t>
  </si>
  <si>
    <t>d51d2f</t>
  </si>
  <si>
    <t>bc1726</t>
  </si>
  <si>
    <t>06345f</t>
  </si>
  <si>
    <t>052747</t>
  </si>
  <si>
    <t>00027f</t>
  </si>
  <si>
    <t>070966</t>
  </si>
  <si>
    <t>8d0d57</t>
  </si>
  <si>
    <t>6b0841</t>
  </si>
  <si>
    <t>381f56</t>
  </si>
  <si>
    <t>281243</t>
  </si>
  <si>
    <t>Has CSS Colour</t>
  </si>
  <si>
    <t>Rel Lum (Odd)</t>
  </si>
  <si>
    <t>Contrast (Odd)</t>
  </si>
  <si>
    <t>CSS Contrast Pass</t>
  </si>
  <si>
    <t>Contrast Pass</t>
  </si>
  <si>
    <t>Rel Lum (Even)</t>
  </si>
  <si>
    <t>Contrast (Even)</t>
  </si>
  <si>
    <t>166532</t>
  </si>
  <si>
    <t>0f5728</t>
  </si>
  <si>
    <t>148215</t>
  </si>
  <si>
    <t>0a730c</t>
  </si>
  <si>
    <t>3a6c94</t>
  </si>
  <si>
    <t>30628b</t>
  </si>
  <si>
    <t>085594</t>
  </si>
  <si>
    <t>7a6831</t>
  </si>
  <si>
    <t>86733a</t>
  </si>
  <si>
    <t>2e7e61</t>
  </si>
  <si>
    <t>257457</t>
  </si>
  <si>
    <t>LUM_TEXT_B</t>
  </si>
  <si>
    <t>LUM_TEXT_W</t>
  </si>
  <si>
    <t>ef9246</t>
  </si>
  <si>
    <t>Text Colour</t>
  </si>
  <si>
    <t>e7883b</t>
  </si>
  <si>
    <t>1300 136 839</t>
  </si>
  <si>
    <t>https://popes-timboon.com.au/</t>
  </si>
  <si>
    <t>(03) 5598 3031</t>
  </si>
  <si>
    <t>192 Timboon-Colac Rd, Timboon VIC 3268</t>
  </si>
  <si>
    <t>F9F9F9</t>
  </si>
  <si>
    <t>cea812</t>
  </si>
  <si>
    <t>bc9a12</t>
  </si>
  <si>
    <t>0B0B0B</t>
  </si>
  <si>
    <t>FFFFFF</t>
  </si>
  <si>
    <t>FDFDFD</t>
  </si>
  <si>
    <t>1e1e1e</t>
  </si>
  <si>
    <t>febf11</t>
  </si>
  <si>
    <t>e4ab0b</t>
  </si>
  <si>
    <t>69ccf6</t>
  </si>
  <si>
    <t>56afd6</t>
  </si>
  <si>
    <t>3e3e3e</t>
  </si>
  <si>
    <t>383838</t>
  </si>
  <si>
    <t>http://www.cavanaghbus.com.au/</t>
  </si>
  <si>
    <t>(02) 6562 7800</t>
  </si>
  <si>
    <t>1 Tozer St, West Kempsey NSW 2440</t>
  </si>
  <si>
    <t>d4c085</t>
  </si>
  <si>
    <t>beab74</t>
  </si>
  <si>
    <t>020202</t>
  </si>
  <si>
    <t>23 Ailsa St, Mansfield VIC 3722</t>
  </si>
  <si>
    <t>0427 240 077</t>
  </si>
  <si>
    <t>double check if is dysons now</t>
  </si>
  <si>
    <t>checked - but bairnsdale or sale?</t>
  </si>
  <si>
    <t>Default</t>
  </si>
  <si>
    <t>c47625</t>
  </si>
  <si>
    <t>d7832c</t>
  </si>
  <si>
    <t>double check</t>
  </si>
  <si>
    <t>will confirm 22 Aug</t>
  </si>
  <si>
    <t>Ouyen &amp; District Freight</t>
  </si>
  <si>
    <t>0417 734 830</t>
  </si>
  <si>
    <t>67 Hughes St, Ouyen VIC 3490</t>
  </si>
  <si>
    <t>Melton</t>
  </si>
  <si>
    <t>Colac - Lorne</t>
  </si>
  <si>
    <t>6-col</t>
  </si>
  <si>
    <t>seems to be dysons</t>
  </si>
  <si>
    <t>Fallons Bus Service (Mansfield)</t>
  </si>
  <si>
    <t>seems to be fallons</t>
  </si>
  <si>
    <t>https://fallonsbusservice.com.au/</t>
  </si>
  <si>
    <t>Glenrowan</t>
  </si>
  <si>
    <t>H46</t>
  </si>
  <si>
    <t>West Gippsland Transit</t>
  </si>
  <si>
    <t>Lancefield - Sunbury</t>
  </si>
  <si>
    <t>St. Arnaud - Stawell via Ararat</t>
  </si>
  <si>
    <t>St. Arnaud - Stawell via Callawadda</t>
  </si>
  <si>
    <t>Bendigo - Maryborough</t>
  </si>
  <si>
    <t>6-b29</t>
  </si>
  <si>
    <t>Ballarat - Maryborough</t>
  </si>
  <si>
    <t>6-WGT</t>
  </si>
  <si>
    <t>North Wonthaggi - Wonthaggi</t>
  </si>
  <si>
    <t>South Wonthaggi - Wonthaggi</t>
  </si>
  <si>
    <t>Dudley - Wonthaggi</t>
  </si>
  <si>
    <t>140A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</si>
</sst>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7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scheme val="minor"/>
    </font>
    <font>
      <sz val="8"/>
      <name val="Aptos Narrow"/>
      <family val="2"/>
      <scheme val="minor"/>
    </font>
    <font>
      <sz val="12"/>
      <color theme="1"/>
      <name val="Aptos Narrow"/>
    </font>
    <font>
      <sz val="12"/>
      <color rgb="FF000000"/>
      <name val="Aptos Narrow"/>
      <family val="2"/>
    </font>
    <font>
      <sz val="12"/>
      <color rgb="FF3E3E3E"/>
      <name val="Aptos Narrow"/>
    </font>
    <font>
      <sz val="23"/>
      <color theme="1"/>
      <name val="Aptos Narrow"/>
    </font>
    <font>
      <sz val="23"/>
      <color rgb="FFF9F9F9"/>
      <name val="Aptos Narrow"/>
    </font>
    <font>
      <sz val="23"/>
      <color rgb="FF1E1E1E"/>
      <name val="Aptos Narrow"/>
    </font>
    <font>
      <sz val="23"/>
      <color rgb="FF0B0B0B"/>
      <name val="Aptos Narrow"/>
    </font>
    <font>
      <sz val="23"/>
      <color rgb="FFFDFDFD"/>
      <name val="Aptos Narrow"/>
    </font>
    <font>
      <sz val="23"/>
      <color rgb="FFFFFFFF"/>
      <name val="Aptos Narrow"/>
    </font>
    <font>
      <sz val="23"/>
      <color rgb="FF020202"/>
      <name val="Aptos Narrow"/>
    </font>
    <font>
      <b/>
      <sz val="12"/>
      <color theme="1"/>
      <name val="Aptos Narrow"/>
      <scheme val="minor"/>
    </font>
    <font>
      <b/>
      <sz val="12"/>
      <color rgb="FF000000"/>
      <name val="Aptos Narrow"/>
      <scheme val="minor"/>
    </font>
    <font>
      <u/>
      <sz val="12"/>
      <color theme="10"/>
      <name val="Aptos Narrow"/>
      <family val="2"/>
      <scheme val="minor"/>
    </font>
  </fonts>
  <fills count="90">
    <fill>
      <patternFill patternType="none"/>
    </fill>
    <fill>
      <patternFill patternType="gray125"/>
    </fill>
    <fill>
      <patternFill patternType="solid">
        <fgColor rgb="FF31467F"/>
        <bgColor indexed="64"/>
      </patternFill>
    </fill>
    <fill>
      <patternFill patternType="solid">
        <fgColor rgb="FF1D2E5E"/>
        <bgColor indexed="64"/>
      </patternFill>
    </fill>
    <fill>
      <patternFill patternType="solid">
        <fgColor rgb="FF305FB3"/>
        <bgColor indexed="64"/>
      </patternFill>
    </fill>
    <fill>
      <patternFill patternType="solid">
        <fgColor rgb="FF1F3E74"/>
        <bgColor indexed="64"/>
      </patternFill>
    </fill>
    <fill>
      <patternFill patternType="solid">
        <fgColor rgb="FF2E2E8F"/>
        <bgColor indexed="64"/>
      </patternFill>
    </fill>
    <fill>
      <patternFill patternType="solid">
        <fgColor rgb="FF232370"/>
        <bgColor indexed="64"/>
      </patternFill>
    </fill>
    <fill>
      <patternFill patternType="solid">
        <fgColor rgb="FF0559A6"/>
        <bgColor indexed="64"/>
      </patternFill>
    </fill>
    <fill>
      <patternFill patternType="solid">
        <fgColor rgb="FF0A4A85"/>
        <bgColor indexed="64"/>
      </patternFill>
    </fill>
    <fill>
      <patternFill patternType="solid">
        <fgColor rgb="FF0C539B"/>
        <bgColor indexed="64"/>
      </patternFill>
    </fill>
    <fill>
      <patternFill patternType="solid">
        <fgColor rgb="FF0C4987"/>
        <bgColor indexed="64"/>
      </patternFill>
    </fill>
    <fill>
      <patternFill patternType="solid">
        <fgColor rgb="FF44478F"/>
        <bgColor indexed="64"/>
      </patternFill>
    </fill>
    <fill>
      <patternFill patternType="solid">
        <fgColor rgb="FF383A76"/>
        <bgColor indexed="64"/>
      </patternFill>
    </fill>
    <fill>
      <patternFill patternType="solid">
        <fgColor rgb="FFB50303"/>
        <bgColor indexed="64"/>
      </patternFill>
    </fill>
    <fill>
      <patternFill patternType="solid">
        <fgColor rgb="FF9B0909"/>
        <bgColor indexed="64"/>
      </patternFill>
    </fill>
    <fill>
      <patternFill patternType="solid">
        <fgColor rgb="FFD50D0D"/>
        <bgColor indexed="64"/>
      </patternFill>
    </fill>
    <fill>
      <patternFill patternType="solid">
        <fgColor rgb="FFB51010"/>
        <bgColor indexed="64"/>
      </patternFill>
    </fill>
    <fill>
      <patternFill patternType="solid">
        <fgColor rgb="FF274523"/>
        <bgColor indexed="64"/>
      </patternFill>
    </fill>
    <fill>
      <patternFill patternType="solid">
        <fgColor rgb="FF192D17"/>
        <bgColor indexed="64"/>
      </patternFill>
    </fill>
    <fill>
      <patternFill patternType="solid">
        <fgColor rgb="FF1080A3"/>
        <bgColor indexed="64"/>
      </patternFill>
    </fill>
    <fill>
      <patternFill patternType="solid">
        <fgColor rgb="FF0F6D89"/>
        <bgColor indexed="64"/>
      </patternFill>
    </fill>
    <fill>
      <patternFill patternType="solid">
        <fgColor rgb="FF08426A"/>
        <bgColor indexed="64"/>
      </patternFill>
    </fill>
    <fill>
      <patternFill patternType="solid">
        <fgColor rgb="FF022A44"/>
        <bgColor indexed="64"/>
      </patternFill>
    </fill>
    <fill>
      <patternFill patternType="solid">
        <fgColor rgb="FF12377C"/>
        <bgColor indexed="64"/>
      </patternFill>
    </fill>
    <fill>
      <patternFill patternType="solid">
        <fgColor rgb="FF0F2C61"/>
        <bgColor indexed="64"/>
      </patternFill>
    </fill>
    <fill>
      <patternFill patternType="solid">
        <fgColor rgb="FF205878"/>
        <bgColor indexed="64"/>
      </patternFill>
    </fill>
    <fill>
      <patternFill patternType="solid">
        <fgColor rgb="FF153B50"/>
        <bgColor indexed="64"/>
      </patternFill>
    </fill>
    <fill>
      <patternFill patternType="solid">
        <fgColor rgb="FF1163A4"/>
        <bgColor indexed="64"/>
      </patternFill>
    </fill>
    <fill>
      <patternFill patternType="solid">
        <fgColor rgb="FFB40E3A"/>
        <bgColor indexed="64"/>
      </patternFill>
    </fill>
    <fill>
      <patternFill patternType="solid">
        <fgColor rgb="FF8C1131"/>
        <bgColor indexed="64"/>
      </patternFill>
    </fill>
    <fill>
      <patternFill patternType="solid">
        <fgColor rgb="FF272B69"/>
        <bgColor indexed="64"/>
      </patternFill>
    </fill>
    <fill>
      <patternFill patternType="solid">
        <fgColor rgb="FF181D55"/>
        <bgColor indexed="64"/>
      </patternFill>
    </fill>
    <fill>
      <patternFill patternType="solid">
        <fgColor rgb="FF711C2B"/>
        <bgColor indexed="64"/>
      </patternFill>
    </fill>
    <fill>
      <patternFill patternType="solid">
        <fgColor rgb="FF5E1824"/>
        <bgColor indexed="64"/>
      </patternFill>
    </fill>
    <fill>
      <patternFill patternType="solid">
        <fgColor rgb="FF14315B"/>
        <bgColor indexed="64"/>
      </patternFill>
    </fill>
    <fill>
      <patternFill patternType="solid">
        <fgColor rgb="FF0C1D36"/>
        <bgColor indexed="64"/>
      </patternFill>
    </fill>
    <fill>
      <patternFill patternType="solid">
        <fgColor rgb="FF4263CD"/>
        <bgColor indexed="64"/>
      </patternFill>
    </fill>
    <fill>
      <patternFill patternType="solid">
        <fgColor rgb="FF3856B7"/>
        <bgColor indexed="64"/>
      </patternFill>
    </fill>
    <fill>
      <patternFill patternType="solid">
        <fgColor rgb="FF047172"/>
        <bgColor indexed="64"/>
      </patternFill>
    </fill>
    <fill>
      <patternFill patternType="solid">
        <fgColor rgb="FF055758"/>
        <bgColor indexed="64"/>
      </patternFill>
    </fill>
    <fill>
      <patternFill patternType="solid">
        <fgColor rgb="FF28AB0E"/>
        <bgColor indexed="64"/>
      </patternFill>
    </fill>
    <fill>
      <patternFill patternType="solid">
        <fgColor rgb="FF23910D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32242"/>
        <bgColor indexed="64"/>
      </patternFill>
    </fill>
    <fill>
      <patternFill patternType="solid">
        <fgColor rgb="FFBA0368"/>
        <bgColor indexed="64"/>
      </patternFill>
    </fill>
    <fill>
      <patternFill patternType="solid">
        <fgColor rgb="FFA8055E"/>
        <bgColor indexed="64"/>
      </patternFill>
    </fill>
    <fill>
      <patternFill patternType="solid">
        <fgColor rgb="FFD51D2F"/>
        <bgColor indexed="64"/>
      </patternFill>
    </fill>
    <fill>
      <patternFill patternType="solid">
        <fgColor rgb="FFBC1726"/>
        <bgColor indexed="64"/>
      </patternFill>
    </fill>
    <fill>
      <patternFill patternType="solid">
        <fgColor rgb="FF2C4269"/>
        <bgColor indexed="64"/>
      </patternFill>
    </fill>
    <fill>
      <patternFill patternType="solid">
        <fgColor rgb="FF233960"/>
        <bgColor indexed="64"/>
      </patternFill>
    </fill>
    <fill>
      <patternFill patternType="solid">
        <fgColor rgb="FFF99D31"/>
        <bgColor indexed="64"/>
      </patternFill>
    </fill>
    <fill>
      <patternFill patternType="solid">
        <fgColor rgb="FFD2872F"/>
        <bgColor indexed="64"/>
      </patternFill>
    </fill>
    <fill>
      <patternFill patternType="solid">
        <fgColor rgb="FF00027F"/>
        <bgColor indexed="64"/>
      </patternFill>
    </fill>
    <fill>
      <patternFill patternType="solid">
        <fgColor rgb="FF070966"/>
        <bgColor indexed="64"/>
      </patternFill>
    </fill>
    <fill>
      <patternFill patternType="solid">
        <fgColor rgb="FF06345F"/>
        <bgColor indexed="64"/>
      </patternFill>
    </fill>
    <fill>
      <patternFill patternType="solid">
        <fgColor rgb="FF052747"/>
        <bgColor indexed="64"/>
      </patternFill>
    </fill>
    <fill>
      <patternFill patternType="solid">
        <fgColor rgb="FF09633E"/>
        <bgColor indexed="64"/>
      </patternFill>
    </fill>
    <fill>
      <patternFill patternType="solid">
        <fgColor rgb="FF03452A"/>
        <bgColor indexed="64"/>
      </patternFill>
    </fill>
    <fill>
      <patternFill patternType="solid">
        <fgColor rgb="FF07B50F"/>
        <bgColor indexed="64"/>
      </patternFill>
    </fill>
    <fill>
      <patternFill patternType="solid">
        <fgColor rgb="FF07960E"/>
        <bgColor indexed="64"/>
      </patternFill>
    </fill>
    <fill>
      <patternFill patternType="solid">
        <fgColor rgb="FF8D0D57"/>
        <bgColor indexed="64"/>
      </patternFill>
    </fill>
    <fill>
      <patternFill patternType="solid">
        <fgColor rgb="FF6B0841"/>
        <bgColor indexed="64"/>
      </patternFill>
    </fill>
    <fill>
      <patternFill patternType="solid">
        <fgColor rgb="FF381F56"/>
        <bgColor indexed="64"/>
      </patternFill>
    </fill>
    <fill>
      <patternFill patternType="solid">
        <fgColor rgb="FF281243"/>
        <bgColor indexed="64"/>
      </patternFill>
    </fill>
    <fill>
      <patternFill patternType="solid">
        <fgColor rgb="FF166532"/>
        <bgColor indexed="64"/>
      </patternFill>
    </fill>
    <fill>
      <patternFill patternType="solid">
        <fgColor rgb="FF0F5728"/>
        <bgColor indexed="64"/>
      </patternFill>
    </fill>
    <fill>
      <patternFill patternType="solid">
        <fgColor rgb="FF148215"/>
        <bgColor indexed="64"/>
      </patternFill>
    </fill>
    <fill>
      <patternFill patternType="solid">
        <fgColor rgb="FF0A730C"/>
        <bgColor indexed="64"/>
      </patternFill>
    </fill>
    <fill>
      <patternFill patternType="solid">
        <fgColor rgb="FF3A6C94"/>
        <bgColor indexed="64"/>
      </patternFill>
    </fill>
    <fill>
      <patternFill patternType="solid">
        <fgColor rgb="FF30628B"/>
        <bgColor indexed="64"/>
      </patternFill>
    </fill>
    <fill>
      <patternFill patternType="solid">
        <fgColor rgb="FF085594"/>
        <bgColor indexed="64"/>
      </patternFill>
    </fill>
    <fill>
      <patternFill patternType="solid">
        <fgColor rgb="FF86733A"/>
        <bgColor indexed="64"/>
      </patternFill>
    </fill>
    <fill>
      <patternFill patternType="solid">
        <fgColor rgb="FF7A6831"/>
        <bgColor indexed="64"/>
      </patternFill>
    </fill>
    <fill>
      <patternFill patternType="solid">
        <fgColor rgb="FF2E7E61"/>
        <bgColor indexed="64"/>
      </patternFill>
    </fill>
    <fill>
      <patternFill patternType="solid">
        <fgColor rgb="FF257457"/>
        <bgColor indexed="64"/>
      </patternFill>
    </fill>
    <fill>
      <patternFill patternType="solid">
        <fgColor rgb="FFEF9246"/>
        <bgColor indexed="64"/>
      </patternFill>
    </fill>
    <fill>
      <patternFill patternType="solid">
        <fgColor rgb="FFE7883B"/>
        <bgColor indexed="64"/>
      </patternFill>
    </fill>
    <fill>
      <patternFill patternType="solid">
        <fgColor rgb="FFCEA812"/>
        <bgColor indexed="64"/>
      </patternFill>
    </fill>
    <fill>
      <patternFill patternType="solid">
        <fgColor rgb="FFBC9A12"/>
        <bgColor indexed="64"/>
      </patternFill>
    </fill>
    <fill>
      <patternFill patternType="solid">
        <fgColor rgb="FFFEBF11"/>
        <bgColor indexed="64"/>
      </patternFill>
    </fill>
    <fill>
      <patternFill patternType="solid">
        <fgColor rgb="FFE4AB0B"/>
        <bgColor indexed="64"/>
      </patternFill>
    </fill>
    <fill>
      <patternFill patternType="solid">
        <fgColor rgb="FF69CCF6"/>
        <bgColor indexed="64"/>
      </patternFill>
    </fill>
    <fill>
      <patternFill patternType="solid">
        <fgColor rgb="FF56AFD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D4C085"/>
        <bgColor indexed="64"/>
      </patternFill>
    </fill>
    <fill>
      <patternFill patternType="solid">
        <fgColor rgb="FFBEAB74"/>
        <bgColor indexed="64"/>
      </patternFill>
    </fill>
    <fill>
      <patternFill patternType="solid">
        <fgColor rgb="FFD7832C"/>
        <bgColor indexed="64"/>
      </patternFill>
    </fill>
    <fill>
      <patternFill patternType="solid">
        <fgColor rgb="FFC4762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49" fontId="0" fillId="0" borderId="0" xfId="0" applyNumberFormat="1"/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0" fillId="0" borderId="0" xfId="0" applyAlignment="1">
      <alignment vertical="center"/>
    </xf>
    <xf numFmtId="49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49" fontId="8" fillId="2" borderId="0" xfId="0" applyNumberFormat="1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/>
    </xf>
    <xf numFmtId="49" fontId="8" fillId="6" borderId="0" xfId="0" applyNumberFormat="1" applyFont="1" applyFill="1" applyAlignment="1">
      <alignment horizontal="center" vertical="center"/>
    </xf>
    <xf numFmtId="49" fontId="8" fillId="7" borderId="0" xfId="0" applyNumberFormat="1" applyFont="1" applyFill="1" applyAlignment="1">
      <alignment horizontal="center" vertical="center"/>
    </xf>
    <xf numFmtId="49" fontId="8" fillId="39" borderId="0" xfId="0" applyNumberFormat="1" applyFont="1" applyFill="1" applyAlignment="1">
      <alignment horizontal="center" vertical="center"/>
    </xf>
    <xf numFmtId="49" fontId="8" fillId="40" borderId="0" xfId="0" applyNumberFormat="1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9" fillId="76" borderId="0" xfId="0" applyNumberFormat="1" applyFont="1" applyFill="1" applyAlignment="1">
      <alignment horizontal="center" vertical="center"/>
    </xf>
    <xf numFmtId="49" fontId="9" fillId="77" borderId="0" xfId="0" applyNumberFormat="1" applyFont="1" applyFill="1" applyAlignment="1">
      <alignment horizontal="center" vertical="center"/>
    </xf>
    <xf numFmtId="49" fontId="8" fillId="8" borderId="0" xfId="0" applyNumberFormat="1" applyFont="1" applyFill="1" applyAlignment="1">
      <alignment horizontal="center" vertical="center"/>
    </xf>
    <xf numFmtId="49" fontId="8" fillId="9" borderId="0" xfId="0" applyNumberFormat="1" applyFont="1" applyFill="1" applyAlignment="1">
      <alignment horizontal="center" vertical="center"/>
    </xf>
    <xf numFmtId="49" fontId="8" fillId="10" borderId="0" xfId="0" applyNumberFormat="1" applyFont="1" applyFill="1" applyAlignment="1">
      <alignment horizontal="center" vertical="center"/>
    </xf>
    <xf numFmtId="49" fontId="8" fillId="11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10" fillId="78" borderId="0" xfId="0" applyNumberFormat="1" applyFont="1" applyFill="1" applyAlignment="1">
      <alignment horizontal="center" vertical="center"/>
    </xf>
    <xf numFmtId="49" fontId="10" fillId="79" borderId="0" xfId="0" applyNumberFormat="1" applyFont="1" applyFill="1" applyAlignment="1">
      <alignment horizontal="center" vertical="center"/>
    </xf>
    <xf numFmtId="49" fontId="8" fillId="67" borderId="0" xfId="0" applyNumberFormat="1" applyFont="1" applyFill="1" applyAlignment="1">
      <alignment horizontal="center" vertical="center"/>
    </xf>
    <xf numFmtId="49" fontId="8" fillId="68" borderId="0" xfId="0" applyNumberFormat="1" applyFont="1" applyFill="1" applyAlignment="1">
      <alignment horizontal="center" vertical="center"/>
    </xf>
    <xf numFmtId="49" fontId="8" fillId="12" borderId="0" xfId="0" applyNumberFormat="1" applyFont="1" applyFill="1" applyAlignment="1">
      <alignment horizontal="center" vertical="center"/>
    </xf>
    <xf numFmtId="49" fontId="8" fillId="13" borderId="0" xfId="0" applyNumberFormat="1" applyFont="1" applyFill="1" applyAlignment="1">
      <alignment horizontal="center" vertical="center"/>
    </xf>
    <xf numFmtId="49" fontId="8" fillId="61" borderId="0" xfId="0" applyNumberFormat="1" applyFont="1" applyFill="1" applyAlignment="1">
      <alignment horizontal="center" vertical="center"/>
    </xf>
    <xf numFmtId="49" fontId="8" fillId="62" borderId="0" xfId="0" applyNumberFormat="1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49" fontId="8" fillId="15" borderId="0" xfId="0" applyNumberFormat="1" applyFont="1" applyFill="1" applyAlignment="1">
      <alignment horizontal="center" vertical="center"/>
    </xf>
    <xf numFmtId="49" fontId="8" fillId="24" borderId="0" xfId="0" applyNumberFormat="1" applyFont="1" applyFill="1" applyAlignment="1">
      <alignment horizontal="center" vertical="center"/>
    </xf>
    <xf numFmtId="49" fontId="8" fillId="25" borderId="0" xfId="0" applyNumberFormat="1" applyFont="1" applyFill="1" applyAlignment="1">
      <alignment horizontal="center" vertical="center"/>
    </xf>
    <xf numFmtId="49" fontId="8" fillId="69" borderId="0" xfId="0" applyNumberFormat="1" applyFont="1" applyFill="1" applyAlignment="1">
      <alignment horizontal="center" vertical="center"/>
    </xf>
    <xf numFmtId="49" fontId="8" fillId="70" borderId="0" xfId="0" applyNumberFormat="1" applyFont="1" applyFill="1" applyAlignment="1">
      <alignment horizontal="center" vertical="center"/>
    </xf>
    <xf numFmtId="49" fontId="8" fillId="22" borderId="0" xfId="0" applyNumberFormat="1" applyFont="1" applyFill="1" applyAlignment="1">
      <alignment horizontal="center" vertical="center"/>
    </xf>
    <xf numFmtId="49" fontId="8" fillId="23" borderId="0" xfId="0" applyNumberFormat="1" applyFont="1" applyFill="1" applyAlignment="1">
      <alignment horizontal="center" vertical="center"/>
    </xf>
    <xf numFmtId="49" fontId="8" fillId="43" borderId="0" xfId="0" applyNumberFormat="1" applyFont="1" applyFill="1" applyAlignment="1">
      <alignment horizontal="center" vertical="center"/>
    </xf>
    <xf numFmtId="49" fontId="8" fillId="44" borderId="0" xfId="0" applyNumberFormat="1" applyFont="1" applyFill="1" applyAlignment="1">
      <alignment horizontal="center" vertical="center"/>
    </xf>
    <xf numFmtId="49" fontId="8" fillId="26" borderId="0" xfId="0" applyNumberFormat="1" applyFont="1" applyFill="1" applyAlignment="1">
      <alignment horizontal="center" vertical="center"/>
    </xf>
    <xf numFmtId="49" fontId="8" fillId="27" borderId="0" xfId="0" applyNumberFormat="1" applyFont="1" applyFill="1" applyAlignment="1">
      <alignment horizontal="center" vertical="center"/>
    </xf>
    <xf numFmtId="49" fontId="8" fillId="28" borderId="0" xfId="0" applyNumberFormat="1" applyFont="1" applyFill="1" applyAlignment="1">
      <alignment horizontal="center" vertical="center"/>
    </xf>
    <xf numFmtId="49" fontId="8" fillId="71" borderId="0" xfId="0" applyNumberFormat="1" applyFont="1" applyFill="1" applyAlignment="1">
      <alignment horizontal="center" vertical="center"/>
    </xf>
    <xf numFmtId="49" fontId="8" fillId="29" borderId="0" xfId="0" applyNumberFormat="1" applyFont="1" applyFill="1" applyAlignment="1">
      <alignment horizontal="center" vertical="center"/>
    </xf>
    <xf numFmtId="49" fontId="8" fillId="30" borderId="0" xfId="0" applyNumberFormat="1" applyFont="1" applyFill="1" applyAlignment="1">
      <alignment horizontal="center" vertical="center"/>
    </xf>
    <xf numFmtId="49" fontId="8" fillId="31" borderId="0" xfId="0" applyNumberFormat="1" applyFont="1" applyFill="1" applyAlignment="1">
      <alignment horizontal="center" vertical="center"/>
    </xf>
    <xf numFmtId="49" fontId="8" fillId="32" borderId="0" xfId="0" applyNumberFormat="1" applyFont="1" applyFill="1" applyAlignment="1">
      <alignment horizontal="center" vertical="center"/>
    </xf>
    <xf numFmtId="49" fontId="8" fillId="33" borderId="0" xfId="0" applyNumberFormat="1" applyFont="1" applyFill="1" applyAlignment="1">
      <alignment horizontal="center" vertical="center"/>
    </xf>
    <xf numFmtId="49" fontId="8" fillId="34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49" fontId="11" fillId="72" borderId="0" xfId="0" applyNumberFormat="1" applyFont="1" applyFill="1" applyAlignment="1">
      <alignment horizontal="center" vertical="center"/>
    </xf>
    <xf numFmtId="49" fontId="11" fillId="73" borderId="0" xfId="0" applyNumberFormat="1" applyFont="1" applyFill="1" applyAlignment="1">
      <alignment horizontal="center" vertical="center"/>
    </xf>
    <xf numFmtId="49" fontId="8" fillId="16" borderId="0" xfId="0" applyNumberFormat="1" applyFont="1" applyFill="1" applyAlignment="1">
      <alignment horizontal="center" vertical="center"/>
    </xf>
    <xf numFmtId="49" fontId="8" fillId="17" borderId="0" xfId="0" applyNumberFormat="1" applyFont="1" applyFill="1" applyAlignment="1">
      <alignment horizontal="center" vertical="center"/>
    </xf>
    <xf numFmtId="49" fontId="8" fillId="18" borderId="0" xfId="0" applyNumberFormat="1" applyFont="1" applyFill="1" applyAlignment="1">
      <alignment horizontal="center" vertical="center"/>
    </xf>
    <xf numFmtId="49" fontId="8" fillId="19" borderId="0" xfId="0" applyNumberFormat="1" applyFont="1" applyFill="1" applyAlignment="1">
      <alignment horizontal="center" vertical="center"/>
    </xf>
    <xf numFmtId="49" fontId="8" fillId="74" borderId="0" xfId="0" applyNumberFormat="1" applyFont="1" applyFill="1" applyAlignment="1">
      <alignment horizontal="center" vertical="center"/>
    </xf>
    <xf numFmtId="49" fontId="8" fillId="75" borderId="0" xfId="0" applyNumberFormat="1" applyFont="1" applyFill="1" applyAlignment="1">
      <alignment horizontal="center" vertical="center"/>
    </xf>
    <xf numFmtId="49" fontId="8" fillId="45" borderId="0" xfId="0" applyNumberFormat="1" applyFont="1" applyFill="1" applyAlignment="1">
      <alignment horizontal="center" vertical="center"/>
    </xf>
    <xf numFmtId="49" fontId="8" fillId="46" borderId="0" xfId="0" applyNumberFormat="1" applyFont="1" applyFill="1" applyAlignment="1">
      <alignment horizontal="center" vertical="center"/>
    </xf>
    <xf numFmtId="49" fontId="8" fillId="63" borderId="0" xfId="0" applyNumberFormat="1" applyFont="1" applyFill="1" applyAlignment="1">
      <alignment horizontal="center" vertical="center"/>
    </xf>
    <xf numFmtId="49" fontId="8" fillId="64" borderId="0" xfId="0" applyNumberFormat="1" applyFont="1" applyFill="1" applyAlignment="1">
      <alignment horizontal="center" vertical="center"/>
    </xf>
    <xf numFmtId="49" fontId="8" fillId="47" borderId="0" xfId="0" applyNumberFormat="1" applyFont="1" applyFill="1" applyAlignment="1">
      <alignment horizontal="center" vertical="center"/>
    </xf>
    <xf numFmtId="49" fontId="8" fillId="48" borderId="0" xfId="0" applyNumberFormat="1" applyFont="1" applyFill="1" applyAlignment="1">
      <alignment horizontal="center" vertical="center"/>
    </xf>
    <xf numFmtId="49" fontId="12" fillId="20" borderId="0" xfId="0" applyNumberFormat="1" applyFont="1" applyFill="1" applyAlignment="1">
      <alignment horizontal="center" vertical="center"/>
    </xf>
    <xf numFmtId="49" fontId="12" fillId="21" borderId="0" xfId="0" applyNumberFormat="1" applyFont="1" applyFill="1" applyAlignment="1">
      <alignment horizontal="center" vertical="center"/>
    </xf>
    <xf numFmtId="49" fontId="8" fillId="49" borderId="0" xfId="0" applyNumberFormat="1" applyFont="1" applyFill="1" applyAlignment="1">
      <alignment horizontal="center" vertical="center"/>
    </xf>
    <xf numFmtId="49" fontId="8" fillId="50" borderId="0" xfId="0" applyNumberFormat="1" applyFont="1" applyFill="1" applyAlignment="1">
      <alignment horizontal="center" vertical="center"/>
    </xf>
    <xf numFmtId="49" fontId="9" fillId="51" borderId="0" xfId="0" applyNumberFormat="1" applyFont="1" applyFill="1" applyAlignment="1">
      <alignment horizontal="center" vertical="center"/>
    </xf>
    <xf numFmtId="49" fontId="9" fillId="52" borderId="0" xfId="0" applyNumberFormat="1" applyFont="1" applyFill="1" applyAlignment="1">
      <alignment horizontal="center" vertical="center"/>
    </xf>
    <xf numFmtId="49" fontId="8" fillId="65" borderId="0" xfId="0" applyNumberFormat="1" applyFont="1" applyFill="1" applyAlignment="1">
      <alignment horizontal="center" vertical="center"/>
    </xf>
    <xf numFmtId="49" fontId="8" fillId="66" borderId="0" xfId="0" applyNumberFormat="1" applyFont="1" applyFill="1" applyAlignment="1">
      <alignment horizontal="center" vertical="center"/>
    </xf>
    <xf numFmtId="49" fontId="13" fillId="41" borderId="0" xfId="0" applyNumberFormat="1" applyFont="1" applyFill="1" applyAlignment="1">
      <alignment horizontal="center" vertical="center"/>
    </xf>
    <xf numFmtId="49" fontId="13" fillId="42" borderId="0" xfId="0" applyNumberFormat="1" applyFont="1" applyFill="1" applyAlignment="1">
      <alignment horizontal="center" vertical="center"/>
    </xf>
    <xf numFmtId="49" fontId="8" fillId="35" borderId="0" xfId="0" applyNumberFormat="1" applyFont="1" applyFill="1" applyAlignment="1">
      <alignment horizontal="center" vertical="center"/>
    </xf>
    <xf numFmtId="49" fontId="8" fillId="36" borderId="0" xfId="0" applyNumberFormat="1" applyFont="1" applyFill="1" applyAlignment="1">
      <alignment horizontal="center" vertical="center"/>
    </xf>
    <xf numFmtId="49" fontId="8" fillId="37" borderId="0" xfId="0" applyNumberFormat="1" applyFont="1" applyFill="1" applyAlignment="1">
      <alignment horizontal="center" vertical="center"/>
    </xf>
    <xf numFmtId="49" fontId="8" fillId="38" borderId="0" xfId="0" applyNumberFormat="1" applyFont="1" applyFill="1" applyAlignment="1">
      <alignment horizontal="center" vertical="center"/>
    </xf>
    <xf numFmtId="49" fontId="8" fillId="53" borderId="0" xfId="0" applyNumberFormat="1" applyFont="1" applyFill="1" applyAlignment="1">
      <alignment horizontal="center" vertical="center"/>
    </xf>
    <xf numFmtId="49" fontId="8" fillId="54" borderId="0" xfId="0" applyNumberFormat="1" applyFont="1" applyFill="1" applyAlignment="1">
      <alignment horizontal="center" vertical="center"/>
    </xf>
    <xf numFmtId="49" fontId="8" fillId="55" borderId="0" xfId="0" applyNumberFormat="1" applyFont="1" applyFill="1" applyAlignment="1">
      <alignment horizontal="center" vertical="center"/>
    </xf>
    <xf numFmtId="49" fontId="8" fillId="56" borderId="0" xfId="0" applyNumberFormat="1" applyFont="1" applyFill="1" applyAlignment="1">
      <alignment horizontal="center" vertical="center"/>
    </xf>
    <xf numFmtId="49" fontId="8" fillId="57" borderId="0" xfId="0" applyNumberFormat="1" applyFont="1" applyFill="1" applyAlignment="1">
      <alignment horizontal="center" vertical="center"/>
    </xf>
    <xf numFmtId="49" fontId="8" fillId="58" borderId="0" xfId="0" applyNumberFormat="1" applyFont="1" applyFill="1" applyAlignment="1">
      <alignment horizontal="center" vertical="center"/>
    </xf>
    <xf numFmtId="49" fontId="13" fillId="59" borderId="0" xfId="0" applyNumberFormat="1" applyFont="1" applyFill="1" applyAlignment="1">
      <alignment horizontal="center" vertical="center"/>
    </xf>
    <xf numFmtId="49" fontId="13" fillId="60" borderId="0" xfId="0" applyNumberFormat="1" applyFont="1" applyFill="1" applyAlignment="1">
      <alignment horizontal="center" vertical="center"/>
    </xf>
    <xf numFmtId="49" fontId="9" fillId="80" borderId="0" xfId="0" applyNumberFormat="1" applyFont="1" applyFill="1" applyAlignment="1">
      <alignment horizontal="center" vertical="center"/>
    </xf>
    <xf numFmtId="49" fontId="9" fillId="81" borderId="0" xfId="0" applyNumberFormat="1" applyFont="1" applyFill="1" applyAlignment="1">
      <alignment horizontal="center" vertical="center"/>
    </xf>
    <xf numFmtId="49" fontId="9" fillId="82" borderId="0" xfId="0" applyNumberFormat="1" applyFont="1" applyFill="1" applyAlignment="1">
      <alignment horizontal="center" vertical="center"/>
    </xf>
    <xf numFmtId="49" fontId="9" fillId="83" borderId="0" xfId="0" applyNumberFormat="1" applyFont="1" applyFill="1" applyAlignment="1">
      <alignment horizontal="center" vertical="center"/>
    </xf>
    <xf numFmtId="49" fontId="8" fillId="84" borderId="0" xfId="0" applyNumberFormat="1" applyFont="1" applyFill="1" applyAlignment="1">
      <alignment horizontal="center" vertical="center"/>
    </xf>
    <xf numFmtId="49" fontId="8" fillId="85" borderId="0" xfId="0" applyNumberFormat="1" applyFont="1" applyFill="1" applyAlignment="1">
      <alignment horizontal="center" vertical="center"/>
    </xf>
    <xf numFmtId="49" fontId="9" fillId="86" borderId="0" xfId="0" applyNumberFormat="1" applyFont="1" applyFill="1" applyAlignment="1">
      <alignment horizontal="center" vertical="center"/>
    </xf>
    <xf numFmtId="49" fontId="9" fillId="87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9" fillId="88" borderId="0" xfId="0" applyNumberFormat="1" applyFont="1" applyFill="1" applyAlignment="1">
      <alignment horizontal="center" vertical="center"/>
    </xf>
    <xf numFmtId="49" fontId="9" fillId="89" borderId="0" xfId="0" applyNumberFormat="1" applyFont="1" applyFill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1" applyAlignment="1">
      <alignment vertical="center"/>
    </xf>
    <xf numFmtId="0" fontId="1" fillId="0" borderId="0" xfId="0" applyFont="1" applyAlignment="1">
      <alignment horizontal="right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E3E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406400</xdr:colOff>
          <xdr:row>4</xdr:row>
          <xdr:rowOff>50800</xdr:rowOff>
        </xdr:from>
        <xdr:to>
          <xdr:col>15</xdr:col>
          <xdr:colOff>254000</xdr:colOff>
          <xdr:row>6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Colour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fallonsbusservice.com.au/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2379-C8DF-8C42-9F5F-B36BAAFDEBF0}">
  <sheetPr codeName="Sheet1"/>
  <dimension ref="A1:D390"/>
  <sheetViews>
    <sheetView tabSelected="1" topLeftCell="A97" zoomScale="150" workbookViewId="0">
      <selection activeCell="B99" sqref="B99"/>
    </sheetView>
  </sheetViews>
  <sheetFormatPr baseColWidth="10" defaultRowHeight="16" x14ac:dyDescent="0.2"/>
  <cols>
    <col min="1" max="1" width="6" style="2" bestFit="1" customWidth="1"/>
    <col min="2" max="2" width="23.6640625" bestFit="1" customWidth="1"/>
    <col min="3" max="3" width="15.33203125" bestFit="1" customWidth="1"/>
  </cols>
  <sheetData>
    <row r="1" spans="1:3" x14ac:dyDescent="0.2">
      <c r="A1" s="2" t="s">
        <v>14</v>
      </c>
      <c r="B1" t="s">
        <v>16</v>
      </c>
      <c r="C1" t="s">
        <v>17</v>
      </c>
    </row>
    <row r="2" spans="1:3" x14ac:dyDescent="0.2">
      <c r="A2" s="2">
        <v>140</v>
      </c>
      <c r="B2" t="s">
        <v>5</v>
      </c>
    </row>
    <row r="3" spans="1:3" x14ac:dyDescent="0.2">
      <c r="A3" s="2" t="s">
        <v>605</v>
      </c>
      <c r="B3" t="s">
        <v>5</v>
      </c>
    </row>
    <row r="4" spans="1:3" x14ac:dyDescent="0.2">
      <c r="A4" s="2">
        <v>150</v>
      </c>
      <c r="B4" t="s">
        <v>0</v>
      </c>
    </row>
    <row r="5" spans="1:3" x14ac:dyDescent="0.2">
      <c r="A5" s="2">
        <v>151</v>
      </c>
      <c r="B5" t="s">
        <v>0</v>
      </c>
    </row>
    <row r="6" spans="1:3" x14ac:dyDescent="0.2">
      <c r="A6" s="2">
        <v>152</v>
      </c>
      <c r="B6" t="s">
        <v>0</v>
      </c>
    </row>
    <row r="7" spans="1:3" x14ac:dyDescent="0.2">
      <c r="A7" s="2">
        <v>153</v>
      </c>
      <c r="B7" t="s">
        <v>0</v>
      </c>
    </row>
    <row r="8" spans="1:3" x14ac:dyDescent="0.2">
      <c r="A8" s="2">
        <v>154</v>
      </c>
      <c r="B8" t="s">
        <v>0</v>
      </c>
    </row>
    <row r="9" spans="1:3" x14ac:dyDescent="0.2">
      <c r="A9" s="2">
        <v>160</v>
      </c>
      <c r="B9" t="s">
        <v>0</v>
      </c>
    </row>
    <row r="10" spans="1:3" x14ac:dyDescent="0.2">
      <c r="A10" s="2">
        <v>161</v>
      </c>
      <c r="B10" t="s">
        <v>0</v>
      </c>
    </row>
    <row r="11" spans="1:3" x14ac:dyDescent="0.2">
      <c r="A11" s="2">
        <v>166</v>
      </c>
      <c r="B11" t="s">
        <v>0</v>
      </c>
    </row>
    <row r="12" spans="1:3" x14ac:dyDescent="0.2">
      <c r="A12" s="2">
        <v>167</v>
      </c>
      <c r="B12" t="s">
        <v>0</v>
      </c>
    </row>
    <row r="13" spans="1:3" x14ac:dyDescent="0.2">
      <c r="A13" s="2">
        <v>170</v>
      </c>
      <c r="B13" t="s">
        <v>0</v>
      </c>
    </row>
    <row r="14" spans="1:3" x14ac:dyDescent="0.2">
      <c r="A14" s="2">
        <v>180</v>
      </c>
      <c r="B14" t="s">
        <v>0</v>
      </c>
    </row>
    <row r="15" spans="1:3" x14ac:dyDescent="0.2">
      <c r="A15" s="2">
        <v>181</v>
      </c>
      <c r="B15" t="s">
        <v>0</v>
      </c>
    </row>
    <row r="16" spans="1:3" x14ac:dyDescent="0.2">
      <c r="A16" s="2">
        <v>182</v>
      </c>
      <c r="B16" t="s">
        <v>0</v>
      </c>
    </row>
    <row r="17" spans="1:2" x14ac:dyDescent="0.2">
      <c r="A17" s="2">
        <v>186</v>
      </c>
      <c r="B17" t="s">
        <v>0</v>
      </c>
    </row>
    <row r="18" spans="1:2" x14ac:dyDescent="0.2">
      <c r="A18" s="2">
        <v>190</v>
      </c>
      <c r="B18" t="s">
        <v>0</v>
      </c>
    </row>
    <row r="19" spans="1:2" x14ac:dyDescent="0.2">
      <c r="A19" s="2">
        <v>191</v>
      </c>
      <c r="B19" t="s">
        <v>0</v>
      </c>
    </row>
    <row r="20" spans="1:2" x14ac:dyDescent="0.2">
      <c r="A20" s="2">
        <v>192</v>
      </c>
      <c r="B20" t="s">
        <v>0</v>
      </c>
    </row>
    <row r="21" spans="1:2" x14ac:dyDescent="0.2">
      <c r="A21" s="2">
        <v>194</v>
      </c>
      <c r="B21" t="s">
        <v>0</v>
      </c>
    </row>
    <row r="22" spans="1:2" x14ac:dyDescent="0.2">
      <c r="A22" s="2">
        <v>200</v>
      </c>
      <c r="B22" t="s">
        <v>1</v>
      </c>
    </row>
    <row r="23" spans="1:2" x14ac:dyDescent="0.2">
      <c r="A23" s="2">
        <v>201</v>
      </c>
      <c r="B23" t="s">
        <v>2</v>
      </c>
    </row>
    <row r="24" spans="1:2" x14ac:dyDescent="0.2">
      <c r="A24" s="2">
        <v>202</v>
      </c>
      <c r="B24" t="s">
        <v>1</v>
      </c>
    </row>
    <row r="25" spans="1:2" x14ac:dyDescent="0.2">
      <c r="A25" s="2">
        <v>207</v>
      </c>
      <c r="B25" t="s">
        <v>1</v>
      </c>
    </row>
    <row r="26" spans="1:2" x14ac:dyDescent="0.2">
      <c r="A26" s="2">
        <v>215</v>
      </c>
      <c r="B26" t="s">
        <v>1</v>
      </c>
    </row>
    <row r="27" spans="1:2" x14ac:dyDescent="0.2">
      <c r="A27" s="2">
        <v>216</v>
      </c>
      <c r="B27" t="s">
        <v>1</v>
      </c>
    </row>
    <row r="28" spans="1:2" x14ac:dyDescent="0.2">
      <c r="A28" s="2">
        <v>220</v>
      </c>
      <c r="B28" t="s">
        <v>1</v>
      </c>
    </row>
    <row r="29" spans="1:2" x14ac:dyDescent="0.2">
      <c r="A29" s="2">
        <v>223</v>
      </c>
      <c r="B29" t="s">
        <v>1</v>
      </c>
    </row>
    <row r="30" spans="1:2" x14ac:dyDescent="0.2">
      <c r="A30" s="2">
        <v>232</v>
      </c>
      <c r="B30" t="s">
        <v>1</v>
      </c>
    </row>
    <row r="31" spans="1:2" x14ac:dyDescent="0.2">
      <c r="A31" s="2">
        <v>234</v>
      </c>
      <c r="B31" t="s">
        <v>1</v>
      </c>
    </row>
    <row r="32" spans="1:2" x14ac:dyDescent="0.2">
      <c r="A32" s="2">
        <v>235</v>
      </c>
      <c r="B32" t="s">
        <v>1</v>
      </c>
    </row>
    <row r="33" spans="1:2" x14ac:dyDescent="0.2">
      <c r="A33" s="2">
        <v>236</v>
      </c>
      <c r="B33" t="s">
        <v>1</v>
      </c>
    </row>
    <row r="34" spans="1:2" x14ac:dyDescent="0.2">
      <c r="A34" s="2">
        <v>237</v>
      </c>
      <c r="B34" t="s">
        <v>1</v>
      </c>
    </row>
    <row r="35" spans="1:2" x14ac:dyDescent="0.2">
      <c r="A35" s="2">
        <v>241</v>
      </c>
      <c r="B35" t="s">
        <v>5</v>
      </c>
    </row>
    <row r="36" spans="1:2" x14ac:dyDescent="0.2">
      <c r="A36" s="2">
        <v>246</v>
      </c>
      <c r="B36" t="s">
        <v>1</v>
      </c>
    </row>
    <row r="37" spans="1:2" x14ac:dyDescent="0.2">
      <c r="A37" s="2">
        <v>250</v>
      </c>
      <c r="B37" t="s">
        <v>1</v>
      </c>
    </row>
    <row r="38" spans="1:2" x14ac:dyDescent="0.2">
      <c r="A38" s="2">
        <v>251</v>
      </c>
      <c r="B38" t="s">
        <v>1</v>
      </c>
    </row>
    <row r="39" spans="1:2" x14ac:dyDescent="0.2">
      <c r="A39" s="2">
        <v>270</v>
      </c>
      <c r="B39" t="s">
        <v>1</v>
      </c>
    </row>
    <row r="40" spans="1:2" x14ac:dyDescent="0.2">
      <c r="A40" s="2">
        <v>271</v>
      </c>
      <c r="B40" t="s">
        <v>1</v>
      </c>
    </row>
    <row r="41" spans="1:2" x14ac:dyDescent="0.2">
      <c r="A41" s="2">
        <v>273</v>
      </c>
      <c r="B41" t="s">
        <v>1</v>
      </c>
    </row>
    <row r="42" spans="1:2" x14ac:dyDescent="0.2">
      <c r="A42" s="2">
        <v>279</v>
      </c>
      <c r="B42" t="s">
        <v>1</v>
      </c>
    </row>
    <row r="43" spans="1:2" x14ac:dyDescent="0.2">
      <c r="A43" s="2">
        <v>280</v>
      </c>
      <c r="B43" t="s">
        <v>1</v>
      </c>
    </row>
    <row r="44" spans="1:2" x14ac:dyDescent="0.2">
      <c r="A44" s="2">
        <v>281</v>
      </c>
      <c r="B44" t="s">
        <v>1</v>
      </c>
    </row>
    <row r="45" spans="1:2" x14ac:dyDescent="0.2">
      <c r="A45" s="2">
        <v>282</v>
      </c>
      <c r="B45" t="s">
        <v>1</v>
      </c>
    </row>
    <row r="46" spans="1:2" x14ac:dyDescent="0.2">
      <c r="A46" s="2">
        <v>284</v>
      </c>
      <c r="B46" t="s">
        <v>1</v>
      </c>
    </row>
    <row r="47" spans="1:2" x14ac:dyDescent="0.2">
      <c r="A47" s="2">
        <v>285</v>
      </c>
      <c r="B47" t="s">
        <v>1</v>
      </c>
    </row>
    <row r="48" spans="1:2" x14ac:dyDescent="0.2">
      <c r="A48" s="2">
        <v>293</v>
      </c>
      <c r="B48" t="s">
        <v>1</v>
      </c>
    </row>
    <row r="49" spans="1:2" x14ac:dyDescent="0.2">
      <c r="A49" s="2">
        <v>295</v>
      </c>
      <c r="B49" t="s">
        <v>1</v>
      </c>
    </row>
    <row r="50" spans="1:2" x14ac:dyDescent="0.2">
      <c r="A50" s="2">
        <v>301</v>
      </c>
      <c r="B50" t="s">
        <v>1</v>
      </c>
    </row>
    <row r="51" spans="1:2" x14ac:dyDescent="0.2">
      <c r="A51" s="2">
        <v>302</v>
      </c>
      <c r="B51" t="s">
        <v>1</v>
      </c>
    </row>
    <row r="52" spans="1:2" x14ac:dyDescent="0.2">
      <c r="A52" s="2">
        <v>303</v>
      </c>
      <c r="B52" t="s">
        <v>1</v>
      </c>
    </row>
    <row r="53" spans="1:2" x14ac:dyDescent="0.2">
      <c r="A53" s="2">
        <v>304</v>
      </c>
      <c r="B53" t="s">
        <v>1</v>
      </c>
    </row>
    <row r="54" spans="1:2" x14ac:dyDescent="0.2">
      <c r="A54" s="2">
        <v>305</v>
      </c>
      <c r="B54" t="s">
        <v>1</v>
      </c>
    </row>
    <row r="55" spans="1:2" x14ac:dyDescent="0.2">
      <c r="A55" s="2">
        <v>309</v>
      </c>
      <c r="B55" t="s">
        <v>1</v>
      </c>
    </row>
    <row r="56" spans="1:2" x14ac:dyDescent="0.2">
      <c r="A56" s="2">
        <v>318</v>
      </c>
      <c r="B56" t="s">
        <v>1</v>
      </c>
    </row>
    <row r="57" spans="1:2" x14ac:dyDescent="0.2">
      <c r="A57" s="2">
        <v>343</v>
      </c>
      <c r="B57" t="s">
        <v>1</v>
      </c>
    </row>
    <row r="58" spans="1:2" x14ac:dyDescent="0.2">
      <c r="A58" s="2">
        <v>350</v>
      </c>
      <c r="B58" t="s">
        <v>1</v>
      </c>
    </row>
    <row r="59" spans="1:2" x14ac:dyDescent="0.2">
      <c r="A59" s="2">
        <v>356</v>
      </c>
      <c r="B59" t="s">
        <v>1</v>
      </c>
    </row>
    <row r="60" spans="1:2" x14ac:dyDescent="0.2">
      <c r="A60" s="2">
        <v>357</v>
      </c>
      <c r="B60" t="s">
        <v>1</v>
      </c>
    </row>
    <row r="61" spans="1:2" x14ac:dyDescent="0.2">
      <c r="A61" s="2">
        <v>358</v>
      </c>
      <c r="B61" t="s">
        <v>1</v>
      </c>
    </row>
    <row r="62" spans="1:2" x14ac:dyDescent="0.2">
      <c r="A62" s="2">
        <v>364</v>
      </c>
      <c r="B62" t="s">
        <v>1</v>
      </c>
    </row>
    <row r="63" spans="1:2" x14ac:dyDescent="0.2">
      <c r="A63" s="2">
        <v>370</v>
      </c>
      <c r="B63" t="s">
        <v>1</v>
      </c>
    </row>
    <row r="64" spans="1:2" x14ac:dyDescent="0.2">
      <c r="A64" s="2">
        <v>381</v>
      </c>
      <c r="B64" t="s">
        <v>1</v>
      </c>
    </row>
    <row r="65" spans="1:3" x14ac:dyDescent="0.2">
      <c r="A65" s="2">
        <v>382</v>
      </c>
      <c r="B65" t="s">
        <v>1</v>
      </c>
    </row>
    <row r="66" spans="1:3" x14ac:dyDescent="0.2">
      <c r="A66" s="2">
        <v>383</v>
      </c>
      <c r="B66" t="s">
        <v>1</v>
      </c>
    </row>
    <row r="67" spans="1:3" x14ac:dyDescent="0.2">
      <c r="A67" s="2">
        <v>384</v>
      </c>
      <c r="B67" t="s">
        <v>1</v>
      </c>
    </row>
    <row r="68" spans="1:3" x14ac:dyDescent="0.2">
      <c r="A68" s="2">
        <v>385</v>
      </c>
      <c r="B68" t="s">
        <v>1</v>
      </c>
    </row>
    <row r="69" spans="1:3" x14ac:dyDescent="0.2">
      <c r="A69" s="2">
        <v>386</v>
      </c>
      <c r="B69" t="s">
        <v>1</v>
      </c>
    </row>
    <row r="70" spans="1:3" x14ac:dyDescent="0.2">
      <c r="A70" s="2">
        <v>387</v>
      </c>
      <c r="B70" t="s">
        <v>1</v>
      </c>
    </row>
    <row r="71" spans="1:3" x14ac:dyDescent="0.2">
      <c r="A71" s="2">
        <v>388</v>
      </c>
      <c r="B71" t="s">
        <v>1</v>
      </c>
    </row>
    <row r="72" spans="1:3" x14ac:dyDescent="0.2">
      <c r="A72" s="2">
        <v>389</v>
      </c>
      <c r="B72" t="s">
        <v>1</v>
      </c>
    </row>
    <row r="73" spans="1:3" x14ac:dyDescent="0.2">
      <c r="A73" s="2">
        <v>390</v>
      </c>
      <c r="B73" t="s">
        <v>1</v>
      </c>
    </row>
    <row r="74" spans="1:3" x14ac:dyDescent="0.2">
      <c r="A74" s="2">
        <v>400</v>
      </c>
      <c r="B74" t="s">
        <v>0</v>
      </c>
      <c r="C74" t="s">
        <v>5</v>
      </c>
    </row>
    <row r="75" spans="1:3" x14ac:dyDescent="0.2">
      <c r="A75" s="2">
        <v>401</v>
      </c>
      <c r="B75" t="s">
        <v>5</v>
      </c>
    </row>
    <row r="76" spans="1:3" x14ac:dyDescent="0.2">
      <c r="A76" s="2">
        <v>402</v>
      </c>
      <c r="B76" t="s">
        <v>5</v>
      </c>
    </row>
    <row r="77" spans="1:3" x14ac:dyDescent="0.2">
      <c r="A77" s="2">
        <v>403</v>
      </c>
      <c r="B77" t="s">
        <v>5</v>
      </c>
    </row>
    <row r="78" spans="1:3" x14ac:dyDescent="0.2">
      <c r="A78" s="2">
        <v>404</v>
      </c>
      <c r="B78" t="s">
        <v>5</v>
      </c>
    </row>
    <row r="79" spans="1:3" x14ac:dyDescent="0.2">
      <c r="A79" s="2">
        <v>405</v>
      </c>
      <c r="B79" t="s">
        <v>5</v>
      </c>
    </row>
    <row r="80" spans="1:3" x14ac:dyDescent="0.2">
      <c r="A80" s="2">
        <v>406</v>
      </c>
      <c r="B80" t="s">
        <v>0</v>
      </c>
    </row>
    <row r="81" spans="1:2" x14ac:dyDescent="0.2">
      <c r="A81" s="2">
        <v>407</v>
      </c>
      <c r="B81" t="s">
        <v>0</v>
      </c>
    </row>
    <row r="82" spans="1:2" x14ac:dyDescent="0.2">
      <c r="A82" s="2">
        <v>408</v>
      </c>
      <c r="B82" t="s">
        <v>0</v>
      </c>
    </row>
    <row r="83" spans="1:2" x14ac:dyDescent="0.2">
      <c r="A83" s="2">
        <v>409</v>
      </c>
      <c r="B83" t="s">
        <v>0</v>
      </c>
    </row>
    <row r="84" spans="1:2" x14ac:dyDescent="0.2">
      <c r="A84" s="2">
        <v>410</v>
      </c>
      <c r="B84" t="s">
        <v>0</v>
      </c>
    </row>
    <row r="85" spans="1:2" x14ac:dyDescent="0.2">
      <c r="A85" s="2">
        <v>411</v>
      </c>
      <c r="B85" t="s">
        <v>0</v>
      </c>
    </row>
    <row r="86" spans="1:2" x14ac:dyDescent="0.2">
      <c r="A86" s="2">
        <v>412</v>
      </c>
      <c r="B86" t="s">
        <v>0</v>
      </c>
    </row>
    <row r="87" spans="1:2" x14ac:dyDescent="0.2">
      <c r="A87" s="2">
        <v>414</v>
      </c>
      <c r="B87" t="s">
        <v>0</v>
      </c>
    </row>
    <row r="88" spans="1:2" x14ac:dyDescent="0.2">
      <c r="A88" s="2">
        <v>415</v>
      </c>
      <c r="B88" t="s">
        <v>0</v>
      </c>
    </row>
    <row r="89" spans="1:2" x14ac:dyDescent="0.2">
      <c r="A89" s="2">
        <v>417</v>
      </c>
      <c r="B89" t="s">
        <v>0</v>
      </c>
    </row>
    <row r="90" spans="1:2" x14ac:dyDescent="0.2">
      <c r="A90" s="2">
        <v>418</v>
      </c>
      <c r="B90" t="s">
        <v>0</v>
      </c>
    </row>
    <row r="91" spans="1:2" x14ac:dyDescent="0.2">
      <c r="A91" s="2">
        <v>419</v>
      </c>
      <c r="B91" t="s">
        <v>0</v>
      </c>
    </row>
    <row r="92" spans="1:2" x14ac:dyDescent="0.2">
      <c r="A92" s="2">
        <v>420</v>
      </c>
      <c r="B92" t="s">
        <v>5</v>
      </c>
    </row>
    <row r="93" spans="1:2" x14ac:dyDescent="0.2">
      <c r="A93" s="2">
        <v>421</v>
      </c>
      <c r="B93" t="s">
        <v>0</v>
      </c>
    </row>
    <row r="94" spans="1:2" x14ac:dyDescent="0.2">
      <c r="A94" s="2">
        <v>422</v>
      </c>
      <c r="B94" t="s">
        <v>5</v>
      </c>
    </row>
    <row r="95" spans="1:2" x14ac:dyDescent="0.2">
      <c r="A95" s="2">
        <v>423</v>
      </c>
      <c r="B95" t="s">
        <v>0</v>
      </c>
    </row>
    <row r="96" spans="1:2" x14ac:dyDescent="0.2">
      <c r="A96" s="2">
        <v>424</v>
      </c>
      <c r="B96" t="s">
        <v>0</v>
      </c>
    </row>
    <row r="97" spans="1:4" x14ac:dyDescent="0.2">
      <c r="A97" s="2">
        <v>425</v>
      </c>
      <c r="B97" t="s">
        <v>0</v>
      </c>
    </row>
    <row r="98" spans="1:4" x14ac:dyDescent="0.2">
      <c r="A98" s="2">
        <v>426</v>
      </c>
      <c r="B98" t="s">
        <v>1</v>
      </c>
    </row>
    <row r="99" spans="1:4" x14ac:dyDescent="0.2">
      <c r="A99" s="2">
        <v>427</v>
      </c>
      <c r="B99" t="s">
        <v>5</v>
      </c>
    </row>
    <row r="100" spans="1:4" x14ac:dyDescent="0.2">
      <c r="A100" s="2">
        <v>428</v>
      </c>
      <c r="B100" t="s">
        <v>5</v>
      </c>
    </row>
    <row r="101" spans="1:4" x14ac:dyDescent="0.2">
      <c r="A101" s="2">
        <v>429</v>
      </c>
      <c r="B101" t="s">
        <v>1</v>
      </c>
    </row>
    <row r="102" spans="1:4" x14ac:dyDescent="0.2">
      <c r="A102" s="2">
        <v>431</v>
      </c>
      <c r="B102" t="s">
        <v>5</v>
      </c>
      <c r="C102" s="4"/>
      <c r="D102" s="3"/>
    </row>
    <row r="103" spans="1:4" x14ac:dyDescent="0.2">
      <c r="A103" s="2">
        <v>432</v>
      </c>
      <c r="B103" t="s">
        <v>5</v>
      </c>
      <c r="C103" s="4"/>
      <c r="D103" s="3"/>
    </row>
    <row r="104" spans="1:4" x14ac:dyDescent="0.2">
      <c r="A104" s="110">
        <v>433</v>
      </c>
      <c r="B104" s="3" t="s">
        <v>254</v>
      </c>
      <c r="C104" s="4"/>
      <c r="D104" s="3"/>
    </row>
    <row r="105" spans="1:4" x14ac:dyDescent="0.2">
      <c r="A105" s="110">
        <v>434</v>
      </c>
      <c r="B105" s="3" t="s">
        <v>254</v>
      </c>
      <c r="C105" s="4"/>
      <c r="D105" s="3"/>
    </row>
    <row r="106" spans="1:4" x14ac:dyDescent="0.2">
      <c r="A106" s="2">
        <v>439</v>
      </c>
      <c r="B106" t="s">
        <v>0</v>
      </c>
    </row>
    <row r="107" spans="1:4" x14ac:dyDescent="0.2">
      <c r="A107" s="2">
        <v>441</v>
      </c>
      <c r="B107" t="s">
        <v>0</v>
      </c>
    </row>
    <row r="108" spans="1:4" x14ac:dyDescent="0.2">
      <c r="A108" s="2">
        <v>443</v>
      </c>
      <c r="B108" t="s">
        <v>0</v>
      </c>
    </row>
    <row r="109" spans="1:4" x14ac:dyDescent="0.2">
      <c r="A109" s="2">
        <v>444</v>
      </c>
      <c r="B109" t="s">
        <v>5</v>
      </c>
    </row>
    <row r="110" spans="1:4" x14ac:dyDescent="0.2">
      <c r="A110" s="2">
        <v>451</v>
      </c>
      <c r="B110" t="s">
        <v>5</v>
      </c>
    </row>
    <row r="111" spans="1:4" x14ac:dyDescent="0.2">
      <c r="A111" s="110">
        <v>452</v>
      </c>
      <c r="B111" s="3" t="s">
        <v>254</v>
      </c>
    </row>
    <row r="112" spans="1:4" x14ac:dyDescent="0.2">
      <c r="A112" s="2">
        <v>453</v>
      </c>
      <c r="B112" t="s">
        <v>5</v>
      </c>
    </row>
    <row r="113" spans="1:2" x14ac:dyDescent="0.2">
      <c r="A113" s="2">
        <v>454</v>
      </c>
      <c r="B113" t="s">
        <v>5</v>
      </c>
    </row>
    <row r="114" spans="1:2" x14ac:dyDescent="0.2">
      <c r="A114" s="2">
        <v>455</v>
      </c>
      <c r="B114" t="s">
        <v>5</v>
      </c>
    </row>
    <row r="115" spans="1:2" x14ac:dyDescent="0.2">
      <c r="A115" s="2">
        <v>456</v>
      </c>
      <c r="B115" t="s">
        <v>5</v>
      </c>
    </row>
    <row r="116" spans="1:2" x14ac:dyDescent="0.2">
      <c r="A116" s="2">
        <v>457</v>
      </c>
      <c r="B116" t="s">
        <v>5</v>
      </c>
    </row>
    <row r="117" spans="1:2" x14ac:dyDescent="0.2">
      <c r="A117" s="2">
        <v>458</v>
      </c>
      <c r="B117" t="s">
        <v>5</v>
      </c>
    </row>
    <row r="118" spans="1:2" x14ac:dyDescent="0.2">
      <c r="A118" s="2">
        <v>459</v>
      </c>
      <c r="B118" t="s">
        <v>5</v>
      </c>
    </row>
    <row r="119" spans="1:2" x14ac:dyDescent="0.2">
      <c r="A119" s="2">
        <v>460</v>
      </c>
      <c r="B119" t="s">
        <v>0</v>
      </c>
    </row>
    <row r="120" spans="1:2" x14ac:dyDescent="0.2">
      <c r="A120" s="2">
        <v>461</v>
      </c>
      <c r="B120" t="s">
        <v>0</v>
      </c>
    </row>
    <row r="121" spans="1:2" x14ac:dyDescent="0.2">
      <c r="A121" s="2">
        <v>462</v>
      </c>
      <c r="B121" t="s">
        <v>0</v>
      </c>
    </row>
    <row r="122" spans="1:2" x14ac:dyDescent="0.2">
      <c r="A122" s="2">
        <v>463</v>
      </c>
      <c r="B122" t="s">
        <v>0</v>
      </c>
    </row>
    <row r="123" spans="1:2" x14ac:dyDescent="0.2">
      <c r="A123" s="2">
        <v>464</v>
      </c>
      <c r="B123" t="s">
        <v>5</v>
      </c>
    </row>
    <row r="124" spans="1:2" x14ac:dyDescent="0.2">
      <c r="A124" s="2">
        <v>465</v>
      </c>
      <c r="B124" t="s">
        <v>0</v>
      </c>
    </row>
    <row r="125" spans="1:2" x14ac:dyDescent="0.2">
      <c r="A125" s="2">
        <v>467</v>
      </c>
      <c r="B125" t="s">
        <v>0</v>
      </c>
    </row>
    <row r="126" spans="1:2" x14ac:dyDescent="0.2">
      <c r="A126" s="2">
        <v>468</v>
      </c>
      <c r="B126" t="s">
        <v>0</v>
      </c>
    </row>
    <row r="127" spans="1:2" x14ac:dyDescent="0.2">
      <c r="A127" s="2">
        <v>469</v>
      </c>
      <c r="B127" t="s">
        <v>0</v>
      </c>
    </row>
    <row r="128" spans="1:2" x14ac:dyDescent="0.2">
      <c r="A128" s="2">
        <v>471</v>
      </c>
      <c r="B128" t="s">
        <v>5</v>
      </c>
    </row>
    <row r="129" spans="1:2" x14ac:dyDescent="0.2">
      <c r="A129" s="2">
        <v>472</v>
      </c>
      <c r="B129" t="s">
        <v>5</v>
      </c>
    </row>
    <row r="130" spans="1:2" x14ac:dyDescent="0.2">
      <c r="A130" s="2">
        <v>475</v>
      </c>
      <c r="B130" t="s">
        <v>8</v>
      </c>
    </row>
    <row r="131" spans="1:2" x14ac:dyDescent="0.2">
      <c r="A131" s="2">
        <v>476</v>
      </c>
      <c r="B131" t="s">
        <v>0</v>
      </c>
    </row>
    <row r="132" spans="1:2" x14ac:dyDescent="0.2">
      <c r="A132" s="2">
        <v>477</v>
      </c>
      <c r="B132" t="s">
        <v>0</v>
      </c>
    </row>
    <row r="133" spans="1:2" x14ac:dyDescent="0.2">
      <c r="A133" s="2">
        <v>478</v>
      </c>
      <c r="B133" t="s">
        <v>0</v>
      </c>
    </row>
    <row r="134" spans="1:2" x14ac:dyDescent="0.2">
      <c r="A134" s="2">
        <v>479</v>
      </c>
      <c r="B134" t="s">
        <v>0</v>
      </c>
    </row>
    <row r="135" spans="1:2" x14ac:dyDescent="0.2">
      <c r="A135" s="2">
        <v>481</v>
      </c>
      <c r="B135" t="s">
        <v>8</v>
      </c>
    </row>
    <row r="136" spans="1:2" x14ac:dyDescent="0.2">
      <c r="A136" s="2">
        <v>482</v>
      </c>
      <c r="B136" t="s">
        <v>0</v>
      </c>
    </row>
    <row r="137" spans="1:2" x14ac:dyDescent="0.2">
      <c r="A137" s="2">
        <v>483</v>
      </c>
      <c r="B137" t="s">
        <v>8</v>
      </c>
    </row>
    <row r="138" spans="1:2" x14ac:dyDescent="0.2">
      <c r="A138" s="2">
        <v>484</v>
      </c>
      <c r="B138" t="s">
        <v>0</v>
      </c>
    </row>
    <row r="139" spans="1:2" x14ac:dyDescent="0.2">
      <c r="A139" s="2">
        <v>485</v>
      </c>
      <c r="B139" t="s">
        <v>8</v>
      </c>
    </row>
    <row r="140" spans="1:2" x14ac:dyDescent="0.2">
      <c r="A140" s="2">
        <v>486</v>
      </c>
      <c r="B140" t="s">
        <v>8</v>
      </c>
    </row>
    <row r="141" spans="1:2" x14ac:dyDescent="0.2">
      <c r="A141" s="2">
        <v>487</v>
      </c>
      <c r="B141" t="s">
        <v>8</v>
      </c>
    </row>
    <row r="142" spans="1:2" x14ac:dyDescent="0.2">
      <c r="A142" s="2">
        <v>488</v>
      </c>
      <c r="B142" t="s">
        <v>8</v>
      </c>
    </row>
    <row r="143" spans="1:2" x14ac:dyDescent="0.2">
      <c r="A143" s="2">
        <v>489</v>
      </c>
      <c r="B143" t="s">
        <v>8</v>
      </c>
    </row>
    <row r="144" spans="1:2" x14ac:dyDescent="0.2">
      <c r="A144" s="2">
        <v>490</v>
      </c>
      <c r="B144" t="s">
        <v>0</v>
      </c>
    </row>
    <row r="145" spans="1:2" x14ac:dyDescent="0.2">
      <c r="A145" s="2">
        <v>494</v>
      </c>
      <c r="B145" t="s">
        <v>0</v>
      </c>
    </row>
    <row r="146" spans="1:2" x14ac:dyDescent="0.2">
      <c r="A146" s="2">
        <v>495</v>
      </c>
      <c r="B146" t="s">
        <v>0</v>
      </c>
    </row>
    <row r="147" spans="1:2" x14ac:dyDescent="0.2">
      <c r="A147" s="2">
        <v>496</v>
      </c>
      <c r="B147" t="s">
        <v>0</v>
      </c>
    </row>
    <row r="148" spans="1:2" x14ac:dyDescent="0.2">
      <c r="A148" s="2">
        <v>497</v>
      </c>
      <c r="B148" t="s">
        <v>0</v>
      </c>
    </row>
    <row r="149" spans="1:2" x14ac:dyDescent="0.2">
      <c r="A149" s="2">
        <v>498</v>
      </c>
      <c r="B149" t="s">
        <v>0</v>
      </c>
    </row>
    <row r="150" spans="1:2" x14ac:dyDescent="0.2">
      <c r="A150" s="2">
        <v>501</v>
      </c>
      <c r="B150" t="s">
        <v>0</v>
      </c>
    </row>
    <row r="151" spans="1:2" x14ac:dyDescent="0.2">
      <c r="A151" s="2">
        <v>503</v>
      </c>
      <c r="B151" t="s">
        <v>1</v>
      </c>
    </row>
    <row r="152" spans="1:2" x14ac:dyDescent="0.2">
      <c r="A152" s="2">
        <v>504</v>
      </c>
      <c r="B152" t="s">
        <v>1</v>
      </c>
    </row>
    <row r="153" spans="1:2" x14ac:dyDescent="0.2">
      <c r="A153" s="2">
        <v>505</v>
      </c>
      <c r="B153" t="s">
        <v>1</v>
      </c>
    </row>
    <row r="154" spans="1:2" x14ac:dyDescent="0.2">
      <c r="A154" s="2">
        <v>506</v>
      </c>
      <c r="B154" t="s">
        <v>1</v>
      </c>
    </row>
    <row r="155" spans="1:2" x14ac:dyDescent="0.2">
      <c r="A155" s="2">
        <v>508</v>
      </c>
      <c r="B155" t="s">
        <v>1</v>
      </c>
    </row>
    <row r="156" spans="1:2" x14ac:dyDescent="0.2">
      <c r="A156" s="2">
        <v>509</v>
      </c>
      <c r="B156" t="s">
        <v>1</v>
      </c>
    </row>
    <row r="157" spans="1:2" x14ac:dyDescent="0.2">
      <c r="A157" s="2">
        <v>510</v>
      </c>
      <c r="B157" t="s">
        <v>1</v>
      </c>
    </row>
    <row r="158" spans="1:2" x14ac:dyDescent="0.2">
      <c r="A158" s="2">
        <v>511</v>
      </c>
      <c r="B158" t="s">
        <v>0</v>
      </c>
    </row>
    <row r="159" spans="1:2" x14ac:dyDescent="0.2">
      <c r="A159" s="2">
        <v>512</v>
      </c>
      <c r="B159" t="s">
        <v>1</v>
      </c>
    </row>
    <row r="160" spans="1:2" x14ac:dyDescent="0.2">
      <c r="A160" s="2">
        <v>513</v>
      </c>
      <c r="B160" t="s">
        <v>1</v>
      </c>
    </row>
    <row r="161" spans="1:2" x14ac:dyDescent="0.2">
      <c r="A161" s="2">
        <v>514</v>
      </c>
      <c r="B161" t="s">
        <v>1</v>
      </c>
    </row>
    <row r="162" spans="1:2" x14ac:dyDescent="0.2">
      <c r="A162" s="2">
        <v>517</v>
      </c>
      <c r="B162" t="s">
        <v>1</v>
      </c>
    </row>
    <row r="163" spans="1:2" x14ac:dyDescent="0.2">
      <c r="A163" s="2">
        <v>518</v>
      </c>
      <c r="B163" t="s">
        <v>1</v>
      </c>
    </row>
    <row r="164" spans="1:2" x14ac:dyDescent="0.2">
      <c r="A164" s="2">
        <v>524</v>
      </c>
      <c r="B164" t="s">
        <v>0</v>
      </c>
    </row>
    <row r="165" spans="1:2" x14ac:dyDescent="0.2">
      <c r="A165" s="2">
        <v>525</v>
      </c>
      <c r="B165" t="s">
        <v>0</v>
      </c>
    </row>
    <row r="166" spans="1:2" x14ac:dyDescent="0.2">
      <c r="A166" s="2">
        <v>526</v>
      </c>
      <c r="B166" t="s">
        <v>2</v>
      </c>
    </row>
    <row r="167" spans="1:2" x14ac:dyDescent="0.2">
      <c r="A167" s="2">
        <v>527</v>
      </c>
      <c r="B167" t="s">
        <v>2</v>
      </c>
    </row>
    <row r="168" spans="1:2" x14ac:dyDescent="0.2">
      <c r="A168" s="2">
        <v>528</v>
      </c>
      <c r="B168" t="s">
        <v>0</v>
      </c>
    </row>
    <row r="169" spans="1:2" x14ac:dyDescent="0.2">
      <c r="A169" s="2">
        <v>529</v>
      </c>
      <c r="B169" t="s">
        <v>0</v>
      </c>
    </row>
    <row r="170" spans="1:2" x14ac:dyDescent="0.2">
      <c r="A170" s="2">
        <v>530</v>
      </c>
      <c r="B170" t="s">
        <v>0</v>
      </c>
    </row>
    <row r="171" spans="1:2" x14ac:dyDescent="0.2">
      <c r="A171" s="2">
        <v>531</v>
      </c>
      <c r="B171" t="s">
        <v>0</v>
      </c>
    </row>
    <row r="172" spans="1:2" x14ac:dyDescent="0.2">
      <c r="A172" s="2">
        <v>532</v>
      </c>
      <c r="B172" t="s">
        <v>0</v>
      </c>
    </row>
    <row r="173" spans="1:2" x14ac:dyDescent="0.2">
      <c r="A173" s="2">
        <v>533</v>
      </c>
      <c r="B173" t="s">
        <v>0</v>
      </c>
    </row>
    <row r="174" spans="1:2" x14ac:dyDescent="0.2">
      <c r="A174" s="2">
        <v>534</v>
      </c>
      <c r="B174" t="s">
        <v>0</v>
      </c>
    </row>
    <row r="175" spans="1:2" x14ac:dyDescent="0.2">
      <c r="A175" s="2">
        <v>536</v>
      </c>
      <c r="B175" t="s">
        <v>0</v>
      </c>
    </row>
    <row r="176" spans="1:2" x14ac:dyDescent="0.2">
      <c r="A176" s="2">
        <v>537</v>
      </c>
      <c r="B176" t="s">
        <v>0</v>
      </c>
    </row>
    <row r="177" spans="1:2" x14ac:dyDescent="0.2">
      <c r="A177" s="2">
        <v>538</v>
      </c>
      <c r="B177" t="s">
        <v>0</v>
      </c>
    </row>
    <row r="178" spans="1:2" x14ac:dyDescent="0.2">
      <c r="A178" s="2">
        <v>540</v>
      </c>
      <c r="B178" t="s">
        <v>0</v>
      </c>
    </row>
    <row r="179" spans="1:2" x14ac:dyDescent="0.2">
      <c r="A179" s="2">
        <v>541</v>
      </c>
      <c r="B179" t="s">
        <v>0</v>
      </c>
    </row>
    <row r="180" spans="1:2" x14ac:dyDescent="0.2">
      <c r="A180" s="2">
        <v>542</v>
      </c>
      <c r="B180" t="s">
        <v>0</v>
      </c>
    </row>
    <row r="181" spans="1:2" x14ac:dyDescent="0.2">
      <c r="A181" s="2">
        <v>543</v>
      </c>
      <c r="B181" t="s">
        <v>0</v>
      </c>
    </row>
    <row r="182" spans="1:2" x14ac:dyDescent="0.2">
      <c r="A182" s="2">
        <v>544</v>
      </c>
      <c r="B182" t="s">
        <v>0</v>
      </c>
    </row>
    <row r="183" spans="1:2" x14ac:dyDescent="0.2">
      <c r="A183" s="2">
        <v>546</v>
      </c>
      <c r="B183" t="s">
        <v>1</v>
      </c>
    </row>
    <row r="184" spans="1:2" x14ac:dyDescent="0.2">
      <c r="A184" s="2">
        <v>548</v>
      </c>
      <c r="B184" t="s">
        <v>2</v>
      </c>
    </row>
    <row r="185" spans="1:2" x14ac:dyDescent="0.2">
      <c r="A185" s="2">
        <v>549</v>
      </c>
      <c r="B185" t="s">
        <v>2</v>
      </c>
    </row>
    <row r="186" spans="1:2" x14ac:dyDescent="0.2">
      <c r="A186" s="2">
        <v>550</v>
      </c>
      <c r="B186" t="s">
        <v>2</v>
      </c>
    </row>
    <row r="187" spans="1:2" x14ac:dyDescent="0.2">
      <c r="A187" s="2">
        <v>551</v>
      </c>
      <c r="B187" t="s">
        <v>2</v>
      </c>
    </row>
    <row r="188" spans="1:2" x14ac:dyDescent="0.2">
      <c r="A188" s="2">
        <v>552</v>
      </c>
      <c r="B188" t="s">
        <v>1</v>
      </c>
    </row>
    <row r="189" spans="1:2" x14ac:dyDescent="0.2">
      <c r="A189" s="2">
        <v>553</v>
      </c>
      <c r="B189" t="s">
        <v>1</v>
      </c>
    </row>
    <row r="190" spans="1:2" x14ac:dyDescent="0.2">
      <c r="A190" s="2">
        <v>554</v>
      </c>
      <c r="B190" t="s">
        <v>1</v>
      </c>
    </row>
    <row r="191" spans="1:2" x14ac:dyDescent="0.2">
      <c r="A191" s="2">
        <v>555</v>
      </c>
      <c r="B191" t="s">
        <v>1</v>
      </c>
    </row>
    <row r="192" spans="1:2" x14ac:dyDescent="0.2">
      <c r="A192" s="2">
        <v>556</v>
      </c>
      <c r="B192" t="s">
        <v>1</v>
      </c>
    </row>
    <row r="193" spans="1:2" x14ac:dyDescent="0.2">
      <c r="A193" s="2">
        <v>557</v>
      </c>
      <c r="B193" t="s">
        <v>1</v>
      </c>
    </row>
    <row r="194" spans="1:2" x14ac:dyDescent="0.2">
      <c r="A194" s="2">
        <v>558</v>
      </c>
      <c r="B194" t="s">
        <v>1</v>
      </c>
    </row>
    <row r="195" spans="1:2" x14ac:dyDescent="0.2">
      <c r="A195" s="2">
        <v>559</v>
      </c>
      <c r="B195" t="s">
        <v>1</v>
      </c>
    </row>
    <row r="196" spans="1:2" x14ac:dyDescent="0.2">
      <c r="A196" s="2">
        <v>561</v>
      </c>
      <c r="B196" t="s">
        <v>1</v>
      </c>
    </row>
    <row r="197" spans="1:2" x14ac:dyDescent="0.2">
      <c r="A197" s="2">
        <v>564</v>
      </c>
      <c r="B197" t="s">
        <v>1</v>
      </c>
    </row>
    <row r="198" spans="1:2" x14ac:dyDescent="0.2">
      <c r="A198" s="2">
        <v>566</v>
      </c>
      <c r="B198" t="s">
        <v>1</v>
      </c>
    </row>
    <row r="199" spans="1:2" x14ac:dyDescent="0.2">
      <c r="A199" s="2">
        <v>567</v>
      </c>
      <c r="B199" s="3" t="s">
        <v>1</v>
      </c>
    </row>
    <row r="200" spans="1:2" x14ac:dyDescent="0.2">
      <c r="A200" s="2">
        <v>569</v>
      </c>
      <c r="B200" t="s">
        <v>1</v>
      </c>
    </row>
    <row r="201" spans="1:2" x14ac:dyDescent="0.2">
      <c r="A201" s="2">
        <v>570</v>
      </c>
      <c r="B201" t="s">
        <v>1</v>
      </c>
    </row>
    <row r="202" spans="1:2" x14ac:dyDescent="0.2">
      <c r="A202" s="2">
        <v>577</v>
      </c>
      <c r="B202" t="s">
        <v>1</v>
      </c>
    </row>
    <row r="203" spans="1:2" x14ac:dyDescent="0.2">
      <c r="A203" s="2">
        <v>578</v>
      </c>
      <c r="B203" t="s">
        <v>1</v>
      </c>
    </row>
    <row r="204" spans="1:2" x14ac:dyDescent="0.2">
      <c r="A204" s="2">
        <v>579</v>
      </c>
      <c r="B204" t="s">
        <v>1</v>
      </c>
    </row>
    <row r="205" spans="1:2" x14ac:dyDescent="0.2">
      <c r="A205" s="2">
        <v>580</v>
      </c>
      <c r="B205" t="s">
        <v>1</v>
      </c>
    </row>
    <row r="206" spans="1:2" x14ac:dyDescent="0.2">
      <c r="A206" s="2">
        <v>582</v>
      </c>
      <c r="B206" t="s">
        <v>1</v>
      </c>
    </row>
    <row r="207" spans="1:2" x14ac:dyDescent="0.2">
      <c r="A207" s="2">
        <v>600</v>
      </c>
      <c r="B207" t="s">
        <v>1</v>
      </c>
    </row>
    <row r="208" spans="1:2" x14ac:dyDescent="0.2">
      <c r="A208" s="2">
        <v>601</v>
      </c>
      <c r="B208" t="s">
        <v>0</v>
      </c>
    </row>
    <row r="209" spans="1:2" x14ac:dyDescent="0.2">
      <c r="A209" s="2">
        <v>603</v>
      </c>
      <c r="B209" t="s">
        <v>1</v>
      </c>
    </row>
    <row r="210" spans="1:2" x14ac:dyDescent="0.2">
      <c r="A210" s="2">
        <v>604</v>
      </c>
      <c r="B210" t="s">
        <v>1</v>
      </c>
    </row>
    <row r="211" spans="1:2" x14ac:dyDescent="0.2">
      <c r="A211" s="2">
        <v>605</v>
      </c>
      <c r="B211" t="s">
        <v>0</v>
      </c>
    </row>
    <row r="212" spans="1:2" x14ac:dyDescent="0.2">
      <c r="A212" s="2">
        <v>606</v>
      </c>
      <c r="B212" t="s">
        <v>0</v>
      </c>
    </row>
    <row r="213" spans="1:2" x14ac:dyDescent="0.2">
      <c r="A213" s="2">
        <v>609</v>
      </c>
      <c r="B213" t="s">
        <v>1</v>
      </c>
    </row>
    <row r="214" spans="1:2" x14ac:dyDescent="0.2">
      <c r="A214" s="2">
        <v>612</v>
      </c>
      <c r="B214" t="s">
        <v>0</v>
      </c>
    </row>
    <row r="215" spans="1:2" x14ac:dyDescent="0.2">
      <c r="A215" s="2">
        <v>623</v>
      </c>
      <c r="B215" t="s">
        <v>0</v>
      </c>
    </row>
    <row r="216" spans="1:2" x14ac:dyDescent="0.2">
      <c r="A216" s="2">
        <v>624</v>
      </c>
      <c r="B216" t="s">
        <v>0</v>
      </c>
    </row>
    <row r="217" spans="1:2" x14ac:dyDescent="0.2">
      <c r="A217" s="2">
        <v>625</v>
      </c>
      <c r="B217" t="s">
        <v>0</v>
      </c>
    </row>
    <row r="218" spans="1:2" x14ac:dyDescent="0.2">
      <c r="A218" s="2">
        <v>626</v>
      </c>
      <c r="B218" t="s">
        <v>0</v>
      </c>
    </row>
    <row r="219" spans="1:2" x14ac:dyDescent="0.2">
      <c r="A219" s="2">
        <v>627</v>
      </c>
      <c r="B219" t="s">
        <v>2</v>
      </c>
    </row>
    <row r="220" spans="1:2" x14ac:dyDescent="0.2">
      <c r="A220" s="2">
        <v>630</v>
      </c>
      <c r="B220" t="s">
        <v>0</v>
      </c>
    </row>
    <row r="221" spans="1:2" x14ac:dyDescent="0.2">
      <c r="A221" s="2">
        <v>631</v>
      </c>
      <c r="B221" t="s">
        <v>2</v>
      </c>
    </row>
    <row r="222" spans="1:2" x14ac:dyDescent="0.2">
      <c r="A222" s="2">
        <v>663</v>
      </c>
      <c r="B222" t="s">
        <v>2</v>
      </c>
    </row>
    <row r="223" spans="1:2" x14ac:dyDescent="0.2">
      <c r="A223" s="2">
        <v>664</v>
      </c>
      <c r="B223" t="s">
        <v>2</v>
      </c>
    </row>
    <row r="224" spans="1:2" x14ac:dyDescent="0.2">
      <c r="A224" s="2">
        <v>668</v>
      </c>
      <c r="B224" t="s">
        <v>1</v>
      </c>
    </row>
    <row r="225" spans="1:2" x14ac:dyDescent="0.2">
      <c r="A225" s="2">
        <v>669</v>
      </c>
      <c r="B225" t="s">
        <v>1</v>
      </c>
    </row>
    <row r="226" spans="1:2" x14ac:dyDescent="0.2">
      <c r="A226" s="2">
        <v>670</v>
      </c>
      <c r="B226" t="s">
        <v>2</v>
      </c>
    </row>
    <row r="227" spans="1:2" x14ac:dyDescent="0.2">
      <c r="A227" s="2">
        <v>671</v>
      </c>
      <c r="B227" t="s">
        <v>2</v>
      </c>
    </row>
    <row r="228" spans="1:2" x14ac:dyDescent="0.2">
      <c r="A228" s="2">
        <v>672</v>
      </c>
      <c r="B228" t="s">
        <v>2</v>
      </c>
    </row>
    <row r="229" spans="1:2" x14ac:dyDescent="0.2">
      <c r="A229" s="2">
        <v>673</v>
      </c>
      <c r="B229" t="s">
        <v>2</v>
      </c>
    </row>
    <row r="230" spans="1:2" x14ac:dyDescent="0.2">
      <c r="A230" s="2">
        <v>675</v>
      </c>
      <c r="B230" t="s">
        <v>2</v>
      </c>
    </row>
    <row r="231" spans="1:2" x14ac:dyDescent="0.2">
      <c r="A231" s="2">
        <v>676</v>
      </c>
      <c r="B231" t="s">
        <v>2</v>
      </c>
    </row>
    <row r="232" spans="1:2" x14ac:dyDescent="0.2">
      <c r="A232" s="2">
        <v>677</v>
      </c>
      <c r="B232" t="s">
        <v>2</v>
      </c>
    </row>
    <row r="233" spans="1:2" x14ac:dyDescent="0.2">
      <c r="A233" s="2">
        <v>679</v>
      </c>
      <c r="B233" t="s">
        <v>2</v>
      </c>
    </row>
    <row r="234" spans="1:2" x14ac:dyDescent="0.2">
      <c r="A234" s="2">
        <v>680</v>
      </c>
      <c r="B234" t="s">
        <v>2</v>
      </c>
    </row>
    <row r="235" spans="1:2" x14ac:dyDescent="0.2">
      <c r="A235" s="2">
        <v>681</v>
      </c>
      <c r="B235" t="s">
        <v>2</v>
      </c>
    </row>
    <row r="236" spans="1:2" x14ac:dyDescent="0.2">
      <c r="A236" s="2">
        <v>682</v>
      </c>
      <c r="B236" t="s">
        <v>2</v>
      </c>
    </row>
    <row r="237" spans="1:2" x14ac:dyDescent="0.2">
      <c r="A237" s="2">
        <v>683</v>
      </c>
      <c r="B237" t="s">
        <v>10</v>
      </c>
    </row>
    <row r="238" spans="1:2" x14ac:dyDescent="0.2">
      <c r="A238" s="2">
        <v>684</v>
      </c>
      <c r="B238" t="s">
        <v>11</v>
      </c>
    </row>
    <row r="239" spans="1:2" x14ac:dyDescent="0.2">
      <c r="A239" s="2">
        <v>685</v>
      </c>
      <c r="B239" t="s">
        <v>11</v>
      </c>
    </row>
    <row r="240" spans="1:2" x14ac:dyDescent="0.2">
      <c r="A240" s="2">
        <v>686</v>
      </c>
      <c r="B240" t="s">
        <v>11</v>
      </c>
    </row>
    <row r="241" spans="1:2" x14ac:dyDescent="0.2">
      <c r="A241" s="2">
        <v>687</v>
      </c>
      <c r="B241" t="s">
        <v>11</v>
      </c>
    </row>
    <row r="242" spans="1:2" x14ac:dyDescent="0.2">
      <c r="A242" s="2">
        <v>688</v>
      </c>
      <c r="B242" t="s">
        <v>2</v>
      </c>
    </row>
    <row r="243" spans="1:2" x14ac:dyDescent="0.2">
      <c r="A243" s="2">
        <v>689</v>
      </c>
      <c r="B243" t="s">
        <v>2</v>
      </c>
    </row>
    <row r="244" spans="1:2" x14ac:dyDescent="0.2">
      <c r="A244" s="2">
        <v>690</v>
      </c>
      <c r="B244" t="s">
        <v>2</v>
      </c>
    </row>
    <row r="245" spans="1:2" x14ac:dyDescent="0.2">
      <c r="A245" s="2">
        <v>691</v>
      </c>
      <c r="B245" t="s">
        <v>2</v>
      </c>
    </row>
    <row r="246" spans="1:2" x14ac:dyDescent="0.2">
      <c r="A246" s="2">
        <v>693</v>
      </c>
      <c r="B246" t="s">
        <v>2</v>
      </c>
    </row>
    <row r="247" spans="1:2" x14ac:dyDescent="0.2">
      <c r="A247" s="2">
        <v>694</v>
      </c>
      <c r="B247" t="s">
        <v>2</v>
      </c>
    </row>
    <row r="248" spans="1:2" x14ac:dyDescent="0.2">
      <c r="A248" s="2">
        <v>695</v>
      </c>
      <c r="B248" t="s">
        <v>2</v>
      </c>
    </row>
    <row r="249" spans="1:2" x14ac:dyDescent="0.2">
      <c r="A249" s="2" t="s">
        <v>13</v>
      </c>
      <c r="B249" t="s">
        <v>2</v>
      </c>
    </row>
    <row r="250" spans="1:2" x14ac:dyDescent="0.2">
      <c r="A250" s="2">
        <v>696</v>
      </c>
      <c r="B250" t="s">
        <v>2</v>
      </c>
    </row>
    <row r="251" spans="1:2" x14ac:dyDescent="0.2">
      <c r="A251" s="2">
        <v>697</v>
      </c>
      <c r="B251" t="s">
        <v>2</v>
      </c>
    </row>
    <row r="252" spans="1:2" x14ac:dyDescent="0.2">
      <c r="A252" s="2">
        <v>699</v>
      </c>
      <c r="B252" t="s">
        <v>2</v>
      </c>
    </row>
    <row r="253" spans="1:2" x14ac:dyDescent="0.2">
      <c r="A253" s="2">
        <v>700</v>
      </c>
      <c r="B253" t="s">
        <v>2</v>
      </c>
    </row>
    <row r="254" spans="1:2" x14ac:dyDescent="0.2">
      <c r="A254" s="2">
        <v>701</v>
      </c>
      <c r="B254" t="s">
        <v>2</v>
      </c>
    </row>
    <row r="255" spans="1:2" x14ac:dyDescent="0.2">
      <c r="A255" s="2">
        <v>703</v>
      </c>
      <c r="B255" t="s">
        <v>2</v>
      </c>
    </row>
    <row r="256" spans="1:2" x14ac:dyDescent="0.2">
      <c r="A256" s="2">
        <v>704</v>
      </c>
      <c r="B256" t="s">
        <v>2</v>
      </c>
    </row>
    <row r="257" spans="1:2" x14ac:dyDescent="0.2">
      <c r="A257" s="2">
        <v>705</v>
      </c>
      <c r="B257" t="s">
        <v>2</v>
      </c>
    </row>
    <row r="258" spans="1:2" x14ac:dyDescent="0.2">
      <c r="A258" s="2">
        <v>706</v>
      </c>
      <c r="B258" t="s">
        <v>2</v>
      </c>
    </row>
    <row r="259" spans="1:2" x14ac:dyDescent="0.2">
      <c r="A259" s="2">
        <v>708</v>
      </c>
      <c r="B259" t="s">
        <v>2</v>
      </c>
    </row>
    <row r="260" spans="1:2" x14ac:dyDescent="0.2">
      <c r="A260" s="2">
        <v>709</v>
      </c>
      <c r="B260" t="s">
        <v>2</v>
      </c>
    </row>
    <row r="261" spans="1:2" x14ac:dyDescent="0.2">
      <c r="A261" s="2">
        <v>732</v>
      </c>
      <c r="B261" t="s">
        <v>2</v>
      </c>
    </row>
    <row r="262" spans="1:2" x14ac:dyDescent="0.2">
      <c r="A262" s="2">
        <v>733</v>
      </c>
      <c r="B262" t="s">
        <v>2</v>
      </c>
    </row>
    <row r="263" spans="1:2" x14ac:dyDescent="0.2">
      <c r="A263" s="2">
        <v>734</v>
      </c>
      <c r="B263" t="s">
        <v>2</v>
      </c>
    </row>
    <row r="264" spans="1:2" x14ac:dyDescent="0.2">
      <c r="A264" s="2">
        <v>735</v>
      </c>
      <c r="B264" t="s">
        <v>2</v>
      </c>
    </row>
    <row r="265" spans="1:2" x14ac:dyDescent="0.2">
      <c r="A265" s="2">
        <v>736</v>
      </c>
      <c r="B265" t="s">
        <v>2</v>
      </c>
    </row>
    <row r="266" spans="1:2" x14ac:dyDescent="0.2">
      <c r="A266" s="2">
        <v>737</v>
      </c>
      <c r="B266" t="s">
        <v>2</v>
      </c>
    </row>
    <row r="267" spans="1:2" x14ac:dyDescent="0.2">
      <c r="A267" s="2">
        <v>738</v>
      </c>
      <c r="B267" t="s">
        <v>2</v>
      </c>
    </row>
    <row r="268" spans="1:2" x14ac:dyDescent="0.2">
      <c r="A268" s="2">
        <v>740</v>
      </c>
      <c r="B268" t="s">
        <v>2</v>
      </c>
    </row>
    <row r="269" spans="1:2" x14ac:dyDescent="0.2">
      <c r="A269" s="2">
        <v>742</v>
      </c>
      <c r="B269" t="s">
        <v>2</v>
      </c>
    </row>
    <row r="270" spans="1:2" x14ac:dyDescent="0.2">
      <c r="A270" s="2">
        <v>745</v>
      </c>
      <c r="B270" t="s">
        <v>2</v>
      </c>
    </row>
    <row r="271" spans="1:2" x14ac:dyDescent="0.2">
      <c r="A271" s="2">
        <v>753</v>
      </c>
      <c r="B271" t="s">
        <v>2</v>
      </c>
    </row>
    <row r="272" spans="1:2" x14ac:dyDescent="0.2">
      <c r="A272" s="2">
        <v>754</v>
      </c>
      <c r="B272" t="s">
        <v>2</v>
      </c>
    </row>
    <row r="273" spans="1:2" x14ac:dyDescent="0.2">
      <c r="A273" s="2">
        <v>755</v>
      </c>
      <c r="B273" t="s">
        <v>2</v>
      </c>
    </row>
    <row r="274" spans="1:2" x14ac:dyDescent="0.2">
      <c r="A274" s="2">
        <v>757</v>
      </c>
      <c r="B274" t="s">
        <v>2</v>
      </c>
    </row>
    <row r="275" spans="1:2" x14ac:dyDescent="0.2">
      <c r="A275" s="2">
        <v>758</v>
      </c>
      <c r="B275" t="s">
        <v>2</v>
      </c>
    </row>
    <row r="276" spans="1:2" x14ac:dyDescent="0.2">
      <c r="A276" s="2">
        <v>760</v>
      </c>
      <c r="B276" t="s">
        <v>2</v>
      </c>
    </row>
    <row r="277" spans="1:2" x14ac:dyDescent="0.2">
      <c r="A277" s="2">
        <v>765</v>
      </c>
      <c r="B277" t="s">
        <v>2</v>
      </c>
    </row>
    <row r="278" spans="1:2" x14ac:dyDescent="0.2">
      <c r="A278" s="2">
        <v>766</v>
      </c>
      <c r="B278" t="s">
        <v>2</v>
      </c>
    </row>
    <row r="279" spans="1:2" x14ac:dyDescent="0.2">
      <c r="A279" s="2">
        <v>767</v>
      </c>
      <c r="B279" t="s">
        <v>2</v>
      </c>
    </row>
    <row r="280" spans="1:2" x14ac:dyDescent="0.2">
      <c r="A280" s="2">
        <v>768</v>
      </c>
      <c r="B280" t="s">
        <v>2</v>
      </c>
    </row>
    <row r="281" spans="1:2" x14ac:dyDescent="0.2">
      <c r="A281" s="2">
        <v>770</v>
      </c>
      <c r="B281" t="s">
        <v>2</v>
      </c>
    </row>
    <row r="282" spans="1:2" x14ac:dyDescent="0.2">
      <c r="A282" s="2">
        <v>771</v>
      </c>
      <c r="B282" t="s">
        <v>2</v>
      </c>
    </row>
    <row r="283" spans="1:2" x14ac:dyDescent="0.2">
      <c r="A283" s="2">
        <v>772</v>
      </c>
      <c r="B283" t="s">
        <v>2</v>
      </c>
    </row>
    <row r="284" spans="1:2" x14ac:dyDescent="0.2">
      <c r="A284" s="2">
        <v>773</v>
      </c>
      <c r="B284" t="s">
        <v>2</v>
      </c>
    </row>
    <row r="285" spans="1:2" x14ac:dyDescent="0.2">
      <c r="A285" s="2">
        <v>774</v>
      </c>
      <c r="B285" t="s">
        <v>2</v>
      </c>
    </row>
    <row r="286" spans="1:2" x14ac:dyDescent="0.2">
      <c r="A286" s="2">
        <v>775</v>
      </c>
      <c r="B286" t="s">
        <v>2</v>
      </c>
    </row>
    <row r="287" spans="1:2" x14ac:dyDescent="0.2">
      <c r="A287" s="2">
        <v>776</v>
      </c>
      <c r="B287" t="s">
        <v>2</v>
      </c>
    </row>
    <row r="288" spans="1:2" x14ac:dyDescent="0.2">
      <c r="A288" s="2">
        <v>777</v>
      </c>
      <c r="B288" t="s">
        <v>2</v>
      </c>
    </row>
    <row r="289" spans="1:2" x14ac:dyDescent="0.2">
      <c r="A289" s="2">
        <v>778</v>
      </c>
      <c r="B289" t="s">
        <v>2</v>
      </c>
    </row>
    <row r="290" spans="1:2" x14ac:dyDescent="0.2">
      <c r="A290" s="2">
        <v>779</v>
      </c>
      <c r="B290" t="s">
        <v>2</v>
      </c>
    </row>
    <row r="291" spans="1:2" x14ac:dyDescent="0.2">
      <c r="A291" s="2">
        <v>780</v>
      </c>
      <c r="B291" t="s">
        <v>2</v>
      </c>
    </row>
    <row r="292" spans="1:2" x14ac:dyDescent="0.2">
      <c r="A292" s="2">
        <v>781</v>
      </c>
      <c r="B292" t="s">
        <v>2</v>
      </c>
    </row>
    <row r="293" spans="1:2" x14ac:dyDescent="0.2">
      <c r="A293" s="2">
        <v>782</v>
      </c>
      <c r="B293" t="s">
        <v>2</v>
      </c>
    </row>
    <row r="294" spans="1:2" x14ac:dyDescent="0.2">
      <c r="A294" s="2">
        <v>783</v>
      </c>
      <c r="B294" t="s">
        <v>2</v>
      </c>
    </row>
    <row r="295" spans="1:2" x14ac:dyDescent="0.2">
      <c r="A295" s="2">
        <v>784</v>
      </c>
      <c r="B295" t="s">
        <v>2</v>
      </c>
    </row>
    <row r="296" spans="1:2" x14ac:dyDescent="0.2">
      <c r="A296" s="2">
        <v>785</v>
      </c>
      <c r="B296" t="s">
        <v>2</v>
      </c>
    </row>
    <row r="297" spans="1:2" x14ac:dyDescent="0.2">
      <c r="A297" s="2">
        <v>786</v>
      </c>
      <c r="B297" t="s">
        <v>2</v>
      </c>
    </row>
    <row r="298" spans="1:2" x14ac:dyDescent="0.2">
      <c r="A298" s="2">
        <v>787</v>
      </c>
      <c r="B298" t="s">
        <v>2</v>
      </c>
    </row>
    <row r="299" spans="1:2" x14ac:dyDescent="0.2">
      <c r="A299" s="2">
        <v>788</v>
      </c>
      <c r="B299" t="s">
        <v>2</v>
      </c>
    </row>
    <row r="300" spans="1:2" x14ac:dyDescent="0.2">
      <c r="A300" s="2">
        <v>789</v>
      </c>
      <c r="B300" t="s">
        <v>12</v>
      </c>
    </row>
    <row r="301" spans="1:2" x14ac:dyDescent="0.2">
      <c r="A301" s="2">
        <v>790</v>
      </c>
      <c r="B301" t="s">
        <v>12</v>
      </c>
    </row>
    <row r="302" spans="1:2" x14ac:dyDescent="0.2">
      <c r="A302" s="2">
        <v>791</v>
      </c>
      <c r="B302" t="s">
        <v>12</v>
      </c>
    </row>
    <row r="303" spans="1:2" x14ac:dyDescent="0.2">
      <c r="A303" s="2">
        <v>792</v>
      </c>
      <c r="B303" t="s">
        <v>12</v>
      </c>
    </row>
    <row r="304" spans="1:2" x14ac:dyDescent="0.2">
      <c r="A304" s="2">
        <v>795</v>
      </c>
      <c r="B304" t="s">
        <v>12</v>
      </c>
    </row>
    <row r="305" spans="1:2" x14ac:dyDescent="0.2">
      <c r="A305" s="2">
        <v>796</v>
      </c>
      <c r="B305" t="s">
        <v>12</v>
      </c>
    </row>
    <row r="306" spans="1:2" x14ac:dyDescent="0.2">
      <c r="A306" s="2">
        <v>798</v>
      </c>
      <c r="B306" t="s">
        <v>12</v>
      </c>
    </row>
    <row r="307" spans="1:2" x14ac:dyDescent="0.2">
      <c r="A307" s="2">
        <v>799</v>
      </c>
      <c r="B307" t="s">
        <v>12</v>
      </c>
    </row>
    <row r="308" spans="1:2" x14ac:dyDescent="0.2">
      <c r="A308" s="2">
        <v>800</v>
      </c>
      <c r="B308" t="s">
        <v>2</v>
      </c>
    </row>
    <row r="309" spans="1:2" x14ac:dyDescent="0.2">
      <c r="A309" s="2">
        <v>802</v>
      </c>
      <c r="B309" t="s">
        <v>2</v>
      </c>
    </row>
    <row r="310" spans="1:2" x14ac:dyDescent="0.2">
      <c r="A310" s="2">
        <v>804</v>
      </c>
      <c r="B310" t="s">
        <v>2</v>
      </c>
    </row>
    <row r="311" spans="1:2" x14ac:dyDescent="0.2">
      <c r="A311" s="2">
        <v>811</v>
      </c>
      <c r="B311" t="s">
        <v>2</v>
      </c>
    </row>
    <row r="312" spans="1:2" x14ac:dyDescent="0.2">
      <c r="A312" s="2">
        <v>812</v>
      </c>
      <c r="B312" t="s">
        <v>2</v>
      </c>
    </row>
    <row r="313" spans="1:2" x14ac:dyDescent="0.2">
      <c r="A313" s="2">
        <v>813</v>
      </c>
      <c r="B313" t="s">
        <v>2</v>
      </c>
    </row>
    <row r="314" spans="1:2" x14ac:dyDescent="0.2">
      <c r="A314" s="2">
        <v>814</v>
      </c>
      <c r="B314" t="s">
        <v>2</v>
      </c>
    </row>
    <row r="315" spans="1:2" x14ac:dyDescent="0.2">
      <c r="A315" s="2">
        <v>815</v>
      </c>
      <c r="B315" t="s">
        <v>2</v>
      </c>
    </row>
    <row r="316" spans="1:2" x14ac:dyDescent="0.2">
      <c r="A316" s="2">
        <v>816</v>
      </c>
      <c r="B316" t="s">
        <v>2</v>
      </c>
    </row>
    <row r="317" spans="1:2" x14ac:dyDescent="0.2">
      <c r="A317" s="2">
        <v>821</v>
      </c>
      <c r="B317" t="s">
        <v>2</v>
      </c>
    </row>
    <row r="318" spans="1:2" x14ac:dyDescent="0.2">
      <c r="A318" s="2">
        <v>822</v>
      </c>
      <c r="B318" t="s">
        <v>2</v>
      </c>
    </row>
    <row r="319" spans="1:2" x14ac:dyDescent="0.2">
      <c r="A319" s="2">
        <v>823</v>
      </c>
      <c r="B319" t="s">
        <v>2</v>
      </c>
    </row>
    <row r="320" spans="1:2" x14ac:dyDescent="0.2">
      <c r="A320" s="2">
        <v>824</v>
      </c>
      <c r="B320" t="s">
        <v>2</v>
      </c>
    </row>
    <row r="321" spans="1:2" x14ac:dyDescent="0.2">
      <c r="A321" s="2">
        <v>825</v>
      </c>
      <c r="B321" t="s">
        <v>2</v>
      </c>
    </row>
    <row r="322" spans="1:2" x14ac:dyDescent="0.2">
      <c r="A322" s="2">
        <v>828</v>
      </c>
      <c r="B322" t="s">
        <v>2</v>
      </c>
    </row>
    <row r="323" spans="1:2" x14ac:dyDescent="0.2">
      <c r="A323" s="2">
        <v>831</v>
      </c>
      <c r="B323" t="s">
        <v>2</v>
      </c>
    </row>
    <row r="324" spans="1:2" x14ac:dyDescent="0.2">
      <c r="A324" s="2">
        <v>832</v>
      </c>
      <c r="B324" t="s">
        <v>2</v>
      </c>
    </row>
    <row r="325" spans="1:2" x14ac:dyDescent="0.2">
      <c r="A325" s="2">
        <v>833</v>
      </c>
      <c r="B325" t="s">
        <v>2</v>
      </c>
    </row>
    <row r="326" spans="1:2" x14ac:dyDescent="0.2">
      <c r="A326" s="2">
        <v>834</v>
      </c>
      <c r="B326" t="s">
        <v>2</v>
      </c>
    </row>
    <row r="327" spans="1:2" x14ac:dyDescent="0.2">
      <c r="A327" s="2">
        <v>835</v>
      </c>
      <c r="B327" t="s">
        <v>2</v>
      </c>
    </row>
    <row r="328" spans="1:2" x14ac:dyDescent="0.2">
      <c r="A328" s="2">
        <v>836</v>
      </c>
      <c r="B328" t="s">
        <v>2</v>
      </c>
    </row>
    <row r="329" spans="1:2" x14ac:dyDescent="0.2">
      <c r="A329" s="2">
        <v>837</v>
      </c>
      <c r="B329" t="s">
        <v>2</v>
      </c>
    </row>
    <row r="330" spans="1:2" x14ac:dyDescent="0.2">
      <c r="A330" s="2">
        <v>838</v>
      </c>
      <c r="B330" t="s">
        <v>2</v>
      </c>
    </row>
    <row r="331" spans="1:2" x14ac:dyDescent="0.2">
      <c r="A331" s="2">
        <v>839</v>
      </c>
      <c r="B331" t="s">
        <v>2</v>
      </c>
    </row>
    <row r="332" spans="1:2" x14ac:dyDescent="0.2">
      <c r="A332" s="2">
        <v>840</v>
      </c>
      <c r="B332" t="s">
        <v>2</v>
      </c>
    </row>
    <row r="333" spans="1:2" x14ac:dyDescent="0.2">
      <c r="A333" s="2">
        <v>841</v>
      </c>
      <c r="B333" t="s">
        <v>2</v>
      </c>
    </row>
    <row r="334" spans="1:2" x14ac:dyDescent="0.2">
      <c r="A334" s="2">
        <v>842</v>
      </c>
      <c r="B334" t="s">
        <v>2</v>
      </c>
    </row>
    <row r="335" spans="1:2" x14ac:dyDescent="0.2">
      <c r="A335" s="2">
        <v>843</v>
      </c>
      <c r="B335" t="s">
        <v>2</v>
      </c>
    </row>
    <row r="336" spans="1:2" x14ac:dyDescent="0.2">
      <c r="A336" s="2">
        <v>844</v>
      </c>
      <c r="B336" t="s">
        <v>2</v>
      </c>
    </row>
    <row r="337" spans="1:2" x14ac:dyDescent="0.2">
      <c r="A337" s="2">
        <v>845</v>
      </c>
      <c r="B337" t="s">
        <v>2</v>
      </c>
    </row>
    <row r="338" spans="1:2" x14ac:dyDescent="0.2">
      <c r="A338" s="2">
        <v>846</v>
      </c>
      <c r="B338" t="s">
        <v>2</v>
      </c>
    </row>
    <row r="339" spans="1:2" x14ac:dyDescent="0.2">
      <c r="A339" s="2">
        <v>847</v>
      </c>
      <c r="B339" t="s">
        <v>2</v>
      </c>
    </row>
    <row r="340" spans="1:2" x14ac:dyDescent="0.2">
      <c r="A340" s="2">
        <v>848</v>
      </c>
      <c r="B340" t="s">
        <v>2</v>
      </c>
    </row>
    <row r="341" spans="1:2" x14ac:dyDescent="0.2">
      <c r="A341" s="2">
        <v>850</v>
      </c>
      <c r="B341" t="s">
        <v>2</v>
      </c>
    </row>
    <row r="342" spans="1:2" x14ac:dyDescent="0.2">
      <c r="A342" s="2">
        <v>857</v>
      </c>
      <c r="B342" t="s">
        <v>2</v>
      </c>
    </row>
    <row r="343" spans="1:2" x14ac:dyDescent="0.2">
      <c r="A343" s="2">
        <v>858</v>
      </c>
      <c r="B343" t="s">
        <v>2</v>
      </c>
    </row>
    <row r="344" spans="1:2" x14ac:dyDescent="0.2">
      <c r="A344" s="2">
        <v>861</v>
      </c>
      <c r="B344" t="s">
        <v>2</v>
      </c>
    </row>
    <row r="345" spans="1:2" x14ac:dyDescent="0.2">
      <c r="A345" s="2">
        <v>862</v>
      </c>
      <c r="B345" t="s">
        <v>2</v>
      </c>
    </row>
    <row r="346" spans="1:2" x14ac:dyDescent="0.2">
      <c r="A346" s="2">
        <v>863</v>
      </c>
      <c r="B346" t="s">
        <v>2</v>
      </c>
    </row>
    <row r="347" spans="1:2" x14ac:dyDescent="0.2">
      <c r="A347" s="2">
        <v>881</v>
      </c>
      <c r="B347" t="s">
        <v>12</v>
      </c>
    </row>
    <row r="348" spans="1:2" x14ac:dyDescent="0.2">
      <c r="A348" s="2">
        <v>885</v>
      </c>
      <c r="B348" t="s">
        <v>2</v>
      </c>
    </row>
    <row r="349" spans="1:2" x14ac:dyDescent="0.2">
      <c r="A349" s="2">
        <v>886</v>
      </c>
      <c r="B349" t="s">
        <v>2</v>
      </c>
    </row>
    <row r="350" spans="1:2" x14ac:dyDescent="0.2">
      <c r="A350" s="2">
        <v>887</v>
      </c>
      <c r="B350" t="s">
        <v>2</v>
      </c>
    </row>
    <row r="351" spans="1:2" x14ac:dyDescent="0.2">
      <c r="A351" s="2">
        <v>888</v>
      </c>
      <c r="B351" t="s">
        <v>2</v>
      </c>
    </row>
    <row r="352" spans="1:2" x14ac:dyDescent="0.2">
      <c r="A352" s="2">
        <v>889</v>
      </c>
      <c r="B352" t="s">
        <v>2</v>
      </c>
    </row>
    <row r="353" spans="1:3" x14ac:dyDescent="0.2">
      <c r="A353" s="2">
        <v>890</v>
      </c>
      <c r="B353" t="s">
        <v>12</v>
      </c>
    </row>
    <row r="354" spans="1:3" x14ac:dyDescent="0.2">
      <c r="A354" s="2">
        <v>891</v>
      </c>
      <c r="B354" t="s">
        <v>12</v>
      </c>
    </row>
    <row r="355" spans="1:3" x14ac:dyDescent="0.2">
      <c r="A355" s="2">
        <v>892</v>
      </c>
      <c r="B355" t="s">
        <v>12</v>
      </c>
    </row>
    <row r="356" spans="1:3" x14ac:dyDescent="0.2">
      <c r="A356" s="2">
        <v>893</v>
      </c>
      <c r="B356" t="s">
        <v>12</v>
      </c>
    </row>
    <row r="357" spans="1:3" x14ac:dyDescent="0.2">
      <c r="A357" s="2">
        <v>894</v>
      </c>
      <c r="B357" t="s">
        <v>12</v>
      </c>
    </row>
    <row r="358" spans="1:3" x14ac:dyDescent="0.2">
      <c r="A358" s="2">
        <v>895</v>
      </c>
      <c r="B358" t="s">
        <v>12</v>
      </c>
    </row>
    <row r="359" spans="1:3" x14ac:dyDescent="0.2">
      <c r="A359" s="2">
        <v>897</v>
      </c>
      <c r="B359" t="s">
        <v>12</v>
      </c>
    </row>
    <row r="360" spans="1:3" x14ac:dyDescent="0.2">
      <c r="A360" s="2">
        <v>898</v>
      </c>
      <c r="B360" t="s">
        <v>12</v>
      </c>
    </row>
    <row r="361" spans="1:3" x14ac:dyDescent="0.2">
      <c r="A361" s="2">
        <v>899</v>
      </c>
      <c r="B361" t="s">
        <v>2</v>
      </c>
    </row>
    <row r="362" spans="1:3" x14ac:dyDescent="0.2">
      <c r="A362" s="2">
        <v>900</v>
      </c>
      <c r="B362" t="s">
        <v>0</v>
      </c>
      <c r="C362" t="s">
        <v>2</v>
      </c>
    </row>
    <row r="363" spans="1:3" x14ac:dyDescent="0.2">
      <c r="A363" s="2">
        <v>901</v>
      </c>
      <c r="B363" t="s">
        <v>1</v>
      </c>
    </row>
    <row r="364" spans="1:3" x14ac:dyDescent="0.2">
      <c r="A364" s="2">
        <v>902</v>
      </c>
      <c r="B364" t="s">
        <v>1</v>
      </c>
    </row>
    <row r="365" spans="1:3" x14ac:dyDescent="0.2">
      <c r="A365" s="2">
        <v>903</v>
      </c>
      <c r="B365" t="s">
        <v>1</v>
      </c>
    </row>
    <row r="366" spans="1:3" x14ac:dyDescent="0.2">
      <c r="A366" s="2">
        <v>905</v>
      </c>
      <c r="B366" t="s">
        <v>1</v>
      </c>
    </row>
    <row r="367" spans="1:3" x14ac:dyDescent="0.2">
      <c r="A367" s="2">
        <v>906</v>
      </c>
      <c r="B367" t="s">
        <v>1</v>
      </c>
    </row>
    <row r="368" spans="1:3" x14ac:dyDescent="0.2">
      <c r="A368" s="2">
        <v>907</v>
      </c>
      <c r="B368" t="s">
        <v>1</v>
      </c>
    </row>
    <row r="369" spans="1:2" x14ac:dyDescent="0.2">
      <c r="A369" s="2">
        <v>908</v>
      </c>
      <c r="B369" t="s">
        <v>1</v>
      </c>
    </row>
    <row r="370" spans="1:2" x14ac:dyDescent="0.2">
      <c r="A370" s="2">
        <v>922</v>
      </c>
      <c r="B370" t="s">
        <v>1</v>
      </c>
    </row>
    <row r="371" spans="1:2" x14ac:dyDescent="0.2">
      <c r="A371" s="2">
        <v>923</v>
      </c>
      <c r="B371" t="s">
        <v>1</v>
      </c>
    </row>
    <row r="372" spans="1:2" x14ac:dyDescent="0.2">
      <c r="A372" s="2">
        <v>925</v>
      </c>
      <c r="B372" t="s">
        <v>2</v>
      </c>
    </row>
    <row r="373" spans="1:2" x14ac:dyDescent="0.2">
      <c r="A373" s="2">
        <v>926</v>
      </c>
      <c r="B373" t="s">
        <v>2</v>
      </c>
    </row>
    <row r="374" spans="1:2" x14ac:dyDescent="0.2">
      <c r="A374" s="2">
        <v>927</v>
      </c>
      <c r="B374" t="s">
        <v>2</v>
      </c>
    </row>
    <row r="375" spans="1:2" x14ac:dyDescent="0.2">
      <c r="A375" s="2">
        <v>928</v>
      </c>
      <c r="B375" t="s">
        <v>2</v>
      </c>
    </row>
    <row r="376" spans="1:2" x14ac:dyDescent="0.2">
      <c r="A376" s="2">
        <v>929</v>
      </c>
      <c r="B376" t="s">
        <v>2</v>
      </c>
    </row>
    <row r="377" spans="1:2" x14ac:dyDescent="0.2">
      <c r="A377" s="2">
        <v>941</v>
      </c>
      <c r="B377" t="s">
        <v>5</v>
      </c>
    </row>
    <row r="378" spans="1:2" x14ac:dyDescent="0.2">
      <c r="A378" s="2">
        <v>943</v>
      </c>
      <c r="B378" t="s">
        <v>5</v>
      </c>
    </row>
    <row r="379" spans="1:2" x14ac:dyDescent="0.2">
      <c r="A379" s="2">
        <v>947</v>
      </c>
      <c r="B379" t="s">
        <v>5</v>
      </c>
    </row>
    <row r="380" spans="1:2" x14ac:dyDescent="0.2">
      <c r="A380" s="2">
        <v>949</v>
      </c>
      <c r="B380" t="s">
        <v>5</v>
      </c>
    </row>
    <row r="381" spans="1:2" x14ac:dyDescent="0.2">
      <c r="A381" s="2">
        <v>951</v>
      </c>
      <c r="B381" t="s">
        <v>2</v>
      </c>
    </row>
    <row r="382" spans="1:2" x14ac:dyDescent="0.2">
      <c r="A382" s="2">
        <v>953</v>
      </c>
      <c r="B382" t="s">
        <v>2</v>
      </c>
    </row>
    <row r="383" spans="1:2" x14ac:dyDescent="0.2">
      <c r="A383" s="2">
        <v>959</v>
      </c>
      <c r="B383" t="s">
        <v>2</v>
      </c>
    </row>
    <row r="384" spans="1:2" x14ac:dyDescent="0.2">
      <c r="A384" s="2">
        <v>964</v>
      </c>
      <c r="B384" t="s">
        <v>2</v>
      </c>
    </row>
    <row r="385" spans="1:2" x14ac:dyDescent="0.2">
      <c r="A385" s="2">
        <v>965</v>
      </c>
      <c r="B385" t="s">
        <v>11</v>
      </c>
    </row>
    <row r="386" spans="1:2" x14ac:dyDescent="0.2">
      <c r="A386" s="2">
        <v>967</v>
      </c>
      <c r="B386" t="s">
        <v>2</v>
      </c>
    </row>
    <row r="387" spans="1:2" x14ac:dyDescent="0.2">
      <c r="A387" s="2">
        <v>978</v>
      </c>
      <c r="B387" t="s">
        <v>2</v>
      </c>
    </row>
    <row r="388" spans="1:2" x14ac:dyDescent="0.2">
      <c r="A388" s="2">
        <v>979</v>
      </c>
      <c r="B388" t="s">
        <v>2</v>
      </c>
    </row>
    <row r="389" spans="1:2" x14ac:dyDescent="0.2">
      <c r="A389" s="2">
        <v>981</v>
      </c>
      <c r="B389" t="s">
        <v>2</v>
      </c>
    </row>
    <row r="390" spans="1:2" x14ac:dyDescent="0.2">
      <c r="A390" s="2">
        <v>982</v>
      </c>
      <c r="B390" t="s">
        <v>2</v>
      </c>
    </row>
  </sheetData>
  <sortState xmlns:xlrd2="http://schemas.microsoft.com/office/spreadsheetml/2017/richdata2" ref="A4:C390">
    <sortCondition ref="A4:A39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90EF2-ACE4-C645-B569-462F39941A8B}">
  <sheetPr codeName="Sheet2"/>
  <dimension ref="A1:C235"/>
  <sheetViews>
    <sheetView topLeftCell="A85" workbookViewId="0">
      <selection activeCell="B102" sqref="B102:C104"/>
    </sheetView>
  </sheetViews>
  <sheetFormatPr baseColWidth="10" defaultRowHeight="16" x14ac:dyDescent="0.2"/>
  <cols>
    <col min="1" max="1" width="13.5" bestFit="1" customWidth="1"/>
    <col min="2" max="2" width="11.5" style="1" bestFit="1" customWidth="1"/>
    <col min="3" max="3" width="35.5" bestFit="1" customWidth="1"/>
  </cols>
  <sheetData>
    <row r="1" spans="1:3" x14ac:dyDescent="0.2">
      <c r="A1" t="s">
        <v>97</v>
      </c>
      <c r="B1" s="1" t="s">
        <v>98</v>
      </c>
      <c r="C1" t="s">
        <v>15</v>
      </c>
    </row>
    <row r="2" spans="1:3" x14ac:dyDescent="0.2">
      <c r="A2" s="3" t="s">
        <v>18</v>
      </c>
      <c r="B2" s="4">
        <v>10</v>
      </c>
      <c r="C2" s="3" t="s">
        <v>19</v>
      </c>
    </row>
    <row r="3" spans="1:3" x14ac:dyDescent="0.2">
      <c r="A3" s="3" t="s">
        <v>18</v>
      </c>
      <c r="B3" s="4">
        <v>11</v>
      </c>
      <c r="C3" s="3" t="s">
        <v>19</v>
      </c>
    </row>
    <row r="4" spans="1:3" x14ac:dyDescent="0.2">
      <c r="A4" s="3" t="s">
        <v>18</v>
      </c>
      <c r="B4" s="4">
        <v>12</v>
      </c>
      <c r="C4" s="3" t="s">
        <v>19</v>
      </c>
    </row>
    <row r="5" spans="1:3" x14ac:dyDescent="0.2">
      <c r="A5" s="3" t="s">
        <v>18</v>
      </c>
      <c r="B5" s="4">
        <v>13</v>
      </c>
      <c r="C5" s="3" t="s">
        <v>19</v>
      </c>
    </row>
    <row r="6" spans="1:3" x14ac:dyDescent="0.2">
      <c r="A6" s="3" t="s">
        <v>18</v>
      </c>
      <c r="B6" s="4">
        <v>14</v>
      </c>
      <c r="C6" s="3" t="s">
        <v>19</v>
      </c>
    </row>
    <row r="7" spans="1:3" x14ac:dyDescent="0.2">
      <c r="A7" s="3" t="s">
        <v>18</v>
      </c>
      <c r="B7" s="4">
        <v>15</v>
      </c>
      <c r="C7" s="3" t="s">
        <v>19</v>
      </c>
    </row>
    <row r="8" spans="1:3" x14ac:dyDescent="0.2">
      <c r="A8" s="3" t="s">
        <v>18</v>
      </c>
      <c r="B8" s="4">
        <v>20</v>
      </c>
      <c r="C8" s="3" t="s">
        <v>19</v>
      </c>
    </row>
    <row r="9" spans="1:3" x14ac:dyDescent="0.2">
      <c r="A9" s="3" t="s">
        <v>18</v>
      </c>
      <c r="B9" s="4">
        <v>21</v>
      </c>
      <c r="C9" s="3" t="s">
        <v>19</v>
      </c>
    </row>
    <row r="10" spans="1:3" x14ac:dyDescent="0.2">
      <c r="A10" s="3" t="s">
        <v>18</v>
      </c>
      <c r="B10" s="4">
        <v>22</v>
      </c>
      <c r="C10" s="3" t="s">
        <v>19</v>
      </c>
    </row>
    <row r="11" spans="1:3" x14ac:dyDescent="0.2">
      <c r="A11" s="3" t="s">
        <v>18</v>
      </c>
      <c r="B11" s="4">
        <v>23</v>
      </c>
      <c r="C11" s="3" t="s">
        <v>19</v>
      </c>
    </row>
    <row r="12" spans="1:3" x14ac:dyDescent="0.2">
      <c r="A12" s="3" t="s">
        <v>18</v>
      </c>
      <c r="B12" s="4">
        <v>24</v>
      </c>
      <c r="C12" s="3" t="s">
        <v>19</v>
      </c>
    </row>
    <row r="13" spans="1:3" x14ac:dyDescent="0.2">
      <c r="A13" s="3" t="s">
        <v>18</v>
      </c>
      <c r="B13" s="4">
        <v>25</v>
      </c>
      <c r="C13" s="3" t="s">
        <v>19</v>
      </c>
    </row>
    <row r="14" spans="1:3" x14ac:dyDescent="0.2">
      <c r="A14" s="3" t="s">
        <v>18</v>
      </c>
      <c r="B14" s="4">
        <v>26</v>
      </c>
      <c r="C14" s="3" t="s">
        <v>19</v>
      </c>
    </row>
    <row r="15" spans="1:3" x14ac:dyDescent="0.2">
      <c r="A15" s="3" t="s">
        <v>18</v>
      </c>
      <c r="B15" s="4">
        <v>30</v>
      </c>
      <c r="C15" s="3" t="s">
        <v>19</v>
      </c>
    </row>
    <row r="16" spans="1:3" x14ac:dyDescent="0.2">
      <c r="A16" s="3" t="s">
        <v>18</v>
      </c>
      <c r="B16" s="4">
        <v>31</v>
      </c>
      <c r="C16" s="3" t="s">
        <v>19</v>
      </c>
    </row>
    <row r="17" spans="1:3" x14ac:dyDescent="0.2">
      <c r="A17" s="3" t="s">
        <v>20</v>
      </c>
      <c r="B17" s="4">
        <v>1</v>
      </c>
      <c r="C17" s="3" t="s">
        <v>21</v>
      </c>
    </row>
    <row r="18" spans="1:3" x14ac:dyDescent="0.2">
      <c r="A18" s="3" t="s">
        <v>20</v>
      </c>
      <c r="B18" s="4">
        <v>10</v>
      </c>
      <c r="C18" s="3" t="s">
        <v>21</v>
      </c>
    </row>
    <row r="19" spans="1:3" x14ac:dyDescent="0.2">
      <c r="A19" s="3" t="s">
        <v>20</v>
      </c>
      <c r="B19" s="4">
        <v>11</v>
      </c>
      <c r="C19" s="3" t="s">
        <v>21</v>
      </c>
    </row>
    <row r="20" spans="1:3" x14ac:dyDescent="0.2">
      <c r="A20" s="3" t="s">
        <v>20</v>
      </c>
      <c r="B20" s="4">
        <v>12</v>
      </c>
      <c r="C20" s="3" t="s">
        <v>21</v>
      </c>
    </row>
    <row r="21" spans="1:3" x14ac:dyDescent="0.2">
      <c r="A21" s="3" t="s">
        <v>20</v>
      </c>
      <c r="B21" s="4">
        <v>18</v>
      </c>
      <c r="C21" s="3" t="s">
        <v>21</v>
      </c>
    </row>
    <row r="22" spans="1:3" x14ac:dyDescent="0.2">
      <c r="A22" s="3" t="s">
        <v>20</v>
      </c>
      <c r="B22" s="4">
        <v>19</v>
      </c>
      <c r="C22" s="3" t="s">
        <v>21</v>
      </c>
    </row>
    <row r="23" spans="1:3" x14ac:dyDescent="0.2">
      <c r="A23" s="3" t="s">
        <v>20</v>
      </c>
      <c r="B23" s="4">
        <v>20</v>
      </c>
      <c r="C23" s="3" t="s">
        <v>21</v>
      </c>
    </row>
    <row r="24" spans="1:3" x14ac:dyDescent="0.2">
      <c r="A24" s="3" t="s">
        <v>20</v>
      </c>
      <c r="B24" s="4">
        <v>22</v>
      </c>
      <c r="C24" s="3" t="s">
        <v>21</v>
      </c>
    </row>
    <row r="25" spans="1:3" x14ac:dyDescent="0.2">
      <c r="A25" s="3" t="s">
        <v>20</v>
      </c>
      <c r="B25" s="4">
        <v>23</v>
      </c>
      <c r="C25" s="3" t="s">
        <v>21</v>
      </c>
    </row>
    <row r="26" spans="1:3" x14ac:dyDescent="0.2">
      <c r="A26" s="3" t="s">
        <v>20</v>
      </c>
      <c r="B26" s="4">
        <v>24</v>
      </c>
      <c r="C26" s="3" t="s">
        <v>21</v>
      </c>
    </row>
    <row r="27" spans="1:3" x14ac:dyDescent="0.2">
      <c r="A27" s="3" t="s">
        <v>20</v>
      </c>
      <c r="B27" s="4">
        <v>25</v>
      </c>
      <c r="C27" s="3" t="s">
        <v>21</v>
      </c>
    </row>
    <row r="28" spans="1:3" x14ac:dyDescent="0.2">
      <c r="A28" s="3" t="s">
        <v>20</v>
      </c>
      <c r="B28" s="4">
        <v>30</v>
      </c>
      <c r="C28" s="3" t="s">
        <v>22</v>
      </c>
    </row>
    <row r="29" spans="1:3" x14ac:dyDescent="0.2">
      <c r="A29" s="3" t="s">
        <v>20</v>
      </c>
      <c r="B29" s="4">
        <v>31</v>
      </c>
      <c r="C29" s="3" t="s">
        <v>22</v>
      </c>
    </row>
    <row r="30" spans="1:3" x14ac:dyDescent="0.2">
      <c r="A30" s="3" t="s">
        <v>20</v>
      </c>
      <c r="B30" s="4">
        <v>32</v>
      </c>
      <c r="C30" s="3" t="s">
        <v>22</v>
      </c>
    </row>
    <row r="31" spans="1:3" x14ac:dyDescent="0.2">
      <c r="A31" s="3" t="s">
        <v>20</v>
      </c>
      <c r="B31" s="4">
        <v>40</v>
      </c>
      <c r="C31" s="3" t="s">
        <v>22</v>
      </c>
    </row>
    <row r="32" spans="1:3" x14ac:dyDescent="0.2">
      <c r="A32" s="3" t="s">
        <v>20</v>
      </c>
      <c r="B32" s="4">
        <v>41</v>
      </c>
      <c r="C32" s="3" t="s">
        <v>22</v>
      </c>
    </row>
    <row r="33" spans="1:3" x14ac:dyDescent="0.2">
      <c r="A33" s="3" t="s">
        <v>20</v>
      </c>
      <c r="B33" s="4">
        <v>42</v>
      </c>
      <c r="C33" s="3" t="s">
        <v>22</v>
      </c>
    </row>
    <row r="34" spans="1:3" x14ac:dyDescent="0.2">
      <c r="A34" s="3" t="s">
        <v>20</v>
      </c>
      <c r="B34" s="4">
        <v>43</v>
      </c>
      <c r="C34" s="3" t="s">
        <v>21</v>
      </c>
    </row>
    <row r="35" spans="1:3" x14ac:dyDescent="0.2">
      <c r="A35" s="3" t="s">
        <v>20</v>
      </c>
      <c r="B35" s="4">
        <v>45</v>
      </c>
      <c r="C35" s="3" t="s">
        <v>22</v>
      </c>
    </row>
    <row r="36" spans="1:3" x14ac:dyDescent="0.2">
      <c r="A36" s="3" t="s">
        <v>20</v>
      </c>
      <c r="B36" s="4">
        <v>49</v>
      </c>
      <c r="C36" s="3" t="s">
        <v>22</v>
      </c>
    </row>
    <row r="37" spans="1:3" x14ac:dyDescent="0.2">
      <c r="A37" s="3" t="s">
        <v>20</v>
      </c>
      <c r="B37" s="4">
        <v>50</v>
      </c>
      <c r="C37" s="3" t="s">
        <v>22</v>
      </c>
    </row>
    <row r="38" spans="1:3" x14ac:dyDescent="0.2">
      <c r="A38" s="3" t="s">
        <v>20</v>
      </c>
      <c r="B38" s="4">
        <v>51</v>
      </c>
      <c r="C38" s="3" t="s">
        <v>22</v>
      </c>
    </row>
    <row r="39" spans="1:3" x14ac:dyDescent="0.2">
      <c r="A39" s="3" t="s">
        <v>20</v>
      </c>
      <c r="B39" s="4">
        <v>52</v>
      </c>
      <c r="C39" s="3" t="s">
        <v>22</v>
      </c>
    </row>
    <row r="40" spans="1:3" x14ac:dyDescent="0.2">
      <c r="A40" s="3" t="s">
        <v>20</v>
      </c>
      <c r="B40" s="4">
        <v>53</v>
      </c>
      <c r="C40" s="3" t="s">
        <v>22</v>
      </c>
    </row>
    <row r="41" spans="1:3" x14ac:dyDescent="0.2">
      <c r="A41" s="3" t="s">
        <v>20</v>
      </c>
      <c r="B41" s="4">
        <v>54</v>
      </c>
      <c r="C41" s="3" t="s">
        <v>22</v>
      </c>
    </row>
    <row r="42" spans="1:3" x14ac:dyDescent="0.2">
      <c r="A42" s="3" t="s">
        <v>20</v>
      </c>
      <c r="B42" s="4">
        <v>55</v>
      </c>
      <c r="C42" s="3" t="s">
        <v>22</v>
      </c>
    </row>
    <row r="43" spans="1:3" x14ac:dyDescent="0.2">
      <c r="A43" s="3" t="s">
        <v>20</v>
      </c>
      <c r="B43" s="4">
        <v>56</v>
      </c>
      <c r="C43" s="3" t="s">
        <v>22</v>
      </c>
    </row>
    <row r="44" spans="1:3" x14ac:dyDescent="0.2">
      <c r="A44" s="3" t="s">
        <v>20</v>
      </c>
      <c r="B44" s="4">
        <v>60</v>
      </c>
      <c r="C44" s="3" t="s">
        <v>22</v>
      </c>
    </row>
    <row r="45" spans="1:3" x14ac:dyDescent="0.2">
      <c r="A45" s="3" t="s">
        <v>20</v>
      </c>
      <c r="B45" s="4">
        <v>61</v>
      </c>
      <c r="C45" s="3" t="s">
        <v>22</v>
      </c>
    </row>
    <row r="46" spans="1:3" x14ac:dyDescent="0.2">
      <c r="A46" s="3" t="s">
        <v>23</v>
      </c>
      <c r="B46" s="4">
        <v>5</v>
      </c>
      <c r="C46" s="3" t="s">
        <v>24</v>
      </c>
    </row>
    <row r="47" spans="1:3" x14ac:dyDescent="0.2">
      <c r="A47" s="3" t="s">
        <v>23</v>
      </c>
      <c r="B47" s="4">
        <v>50</v>
      </c>
      <c r="C47" s="3" t="s">
        <v>24</v>
      </c>
    </row>
    <row r="48" spans="1:3" x14ac:dyDescent="0.2">
      <c r="A48" s="3" t="s">
        <v>23</v>
      </c>
      <c r="B48" s="4">
        <v>51</v>
      </c>
      <c r="C48" s="3" t="s">
        <v>24</v>
      </c>
    </row>
    <row r="49" spans="1:3" x14ac:dyDescent="0.2">
      <c r="A49" s="3" t="s">
        <v>23</v>
      </c>
      <c r="B49" s="4">
        <v>52</v>
      </c>
      <c r="C49" s="3" t="s">
        <v>24</v>
      </c>
    </row>
    <row r="50" spans="1:3" x14ac:dyDescent="0.2">
      <c r="A50" s="3" t="s">
        <v>23</v>
      </c>
      <c r="B50" s="4">
        <v>53</v>
      </c>
      <c r="C50" s="3" t="s">
        <v>24</v>
      </c>
    </row>
    <row r="51" spans="1:3" x14ac:dyDescent="0.2">
      <c r="A51" s="3" t="s">
        <v>23</v>
      </c>
      <c r="B51" s="4">
        <v>54</v>
      </c>
      <c r="C51" s="3" t="s">
        <v>24</v>
      </c>
    </row>
    <row r="52" spans="1:3" x14ac:dyDescent="0.2">
      <c r="A52" s="3" t="s">
        <v>23</v>
      </c>
      <c r="B52" s="4">
        <v>55</v>
      </c>
      <c r="C52" s="3" t="s">
        <v>24</v>
      </c>
    </row>
    <row r="53" spans="1:3" x14ac:dyDescent="0.2">
      <c r="A53" s="3" t="s">
        <v>23</v>
      </c>
      <c r="B53" s="4">
        <v>60</v>
      </c>
      <c r="C53" s="3" t="s">
        <v>24</v>
      </c>
    </row>
    <row r="54" spans="1:3" x14ac:dyDescent="0.2">
      <c r="A54" s="3" t="s">
        <v>23</v>
      </c>
      <c r="B54" s="4">
        <v>61</v>
      </c>
      <c r="C54" s="3" t="s">
        <v>24</v>
      </c>
    </row>
    <row r="55" spans="1:3" x14ac:dyDescent="0.2">
      <c r="A55" s="3" t="s">
        <v>23</v>
      </c>
      <c r="B55" s="4">
        <v>62</v>
      </c>
      <c r="C55" s="3" t="s">
        <v>24</v>
      </c>
    </row>
    <row r="56" spans="1:3" x14ac:dyDescent="0.2">
      <c r="A56" s="3" t="s">
        <v>23</v>
      </c>
      <c r="B56" s="4">
        <v>63</v>
      </c>
      <c r="C56" s="3" t="s">
        <v>24</v>
      </c>
    </row>
    <row r="57" spans="1:3" x14ac:dyDescent="0.2">
      <c r="A57" s="3" t="s">
        <v>23</v>
      </c>
      <c r="B57" s="4">
        <v>64</v>
      </c>
      <c r="C57" s="3" t="s">
        <v>24</v>
      </c>
    </row>
    <row r="58" spans="1:3" x14ac:dyDescent="0.2">
      <c r="A58" s="3" t="s">
        <v>23</v>
      </c>
      <c r="B58" s="4">
        <v>65</v>
      </c>
      <c r="C58" s="3" t="s">
        <v>24</v>
      </c>
    </row>
    <row r="59" spans="1:3" x14ac:dyDescent="0.2">
      <c r="A59" s="3" t="s">
        <v>23</v>
      </c>
      <c r="B59" s="4">
        <v>70</v>
      </c>
      <c r="C59" s="3" t="s">
        <v>25</v>
      </c>
    </row>
    <row r="60" spans="1:3" x14ac:dyDescent="0.2">
      <c r="A60" s="3" t="s">
        <v>23</v>
      </c>
      <c r="B60" s="4">
        <v>71</v>
      </c>
      <c r="C60" s="3" t="s">
        <v>25</v>
      </c>
    </row>
    <row r="61" spans="1:3" x14ac:dyDescent="0.2">
      <c r="A61" s="3" t="s">
        <v>26</v>
      </c>
      <c r="B61" s="4">
        <v>1</v>
      </c>
      <c r="C61" s="3" t="s">
        <v>27</v>
      </c>
    </row>
    <row r="62" spans="1:3" x14ac:dyDescent="0.2">
      <c r="A62" s="3" t="s">
        <v>26</v>
      </c>
      <c r="B62" s="4">
        <v>2</v>
      </c>
      <c r="C62" s="3" t="s">
        <v>27</v>
      </c>
    </row>
    <row r="63" spans="1:3" x14ac:dyDescent="0.2">
      <c r="A63" s="3" t="s">
        <v>26</v>
      </c>
      <c r="B63" s="4">
        <v>3</v>
      </c>
      <c r="C63" s="3" t="s">
        <v>27</v>
      </c>
    </row>
    <row r="64" spans="1:3" x14ac:dyDescent="0.2">
      <c r="A64" s="3" t="s">
        <v>26</v>
      </c>
      <c r="B64" s="4">
        <v>4</v>
      </c>
      <c r="C64" s="3" t="s">
        <v>27</v>
      </c>
    </row>
    <row r="65" spans="1:3" x14ac:dyDescent="0.2">
      <c r="A65" s="3" t="s">
        <v>26</v>
      </c>
      <c r="B65" s="4">
        <v>5</v>
      </c>
      <c r="C65" s="3" t="s">
        <v>27</v>
      </c>
    </row>
    <row r="66" spans="1:3" x14ac:dyDescent="0.2">
      <c r="A66" s="3" t="s">
        <v>26</v>
      </c>
      <c r="B66" s="4">
        <v>6</v>
      </c>
      <c r="C66" s="3" t="s">
        <v>27</v>
      </c>
    </row>
    <row r="67" spans="1:3" x14ac:dyDescent="0.2">
      <c r="A67" s="3" t="s">
        <v>26</v>
      </c>
      <c r="B67" s="4">
        <v>7</v>
      </c>
      <c r="C67" s="3" t="s">
        <v>27</v>
      </c>
    </row>
    <row r="68" spans="1:3" x14ac:dyDescent="0.2">
      <c r="A68" s="3" t="s">
        <v>26</v>
      </c>
      <c r="B68" s="4">
        <v>8</v>
      </c>
      <c r="C68" s="3" t="s">
        <v>27</v>
      </c>
    </row>
    <row r="69" spans="1:3" x14ac:dyDescent="0.2">
      <c r="A69" s="3" t="s">
        <v>26</v>
      </c>
      <c r="B69" s="4">
        <v>9</v>
      </c>
      <c r="C69" s="3" t="s">
        <v>27</v>
      </c>
    </row>
    <row r="70" spans="1:3" x14ac:dyDescent="0.2">
      <c r="A70" s="3" t="s">
        <v>26</v>
      </c>
      <c r="B70" s="4">
        <v>11</v>
      </c>
      <c r="C70" s="3" t="s">
        <v>27</v>
      </c>
    </row>
    <row r="71" spans="1:3" x14ac:dyDescent="0.2">
      <c r="A71" s="3" t="s">
        <v>26</v>
      </c>
      <c r="B71" s="4">
        <v>12</v>
      </c>
      <c r="C71" s="3" t="s">
        <v>27</v>
      </c>
    </row>
    <row r="72" spans="1:3" x14ac:dyDescent="0.2">
      <c r="A72" s="3" t="s">
        <v>26</v>
      </c>
      <c r="B72" s="4">
        <v>13</v>
      </c>
      <c r="C72" s="3" t="s">
        <v>27</v>
      </c>
    </row>
    <row r="73" spans="1:3" x14ac:dyDescent="0.2">
      <c r="A73" s="3" t="s">
        <v>26</v>
      </c>
      <c r="B73" s="4">
        <v>14</v>
      </c>
      <c r="C73" s="3" t="s">
        <v>27</v>
      </c>
    </row>
    <row r="74" spans="1:3" x14ac:dyDescent="0.2">
      <c r="A74" s="3" t="s">
        <v>26</v>
      </c>
      <c r="B74" s="4">
        <v>15</v>
      </c>
      <c r="C74" s="3" t="s">
        <v>27</v>
      </c>
    </row>
    <row r="75" spans="1:3" x14ac:dyDescent="0.2">
      <c r="A75" s="3" t="s">
        <v>26</v>
      </c>
      <c r="B75" s="4">
        <v>20</v>
      </c>
      <c r="C75" s="3" t="s">
        <v>27</v>
      </c>
    </row>
    <row r="76" spans="1:3" x14ac:dyDescent="0.2">
      <c r="A76" s="3" t="s">
        <v>26</v>
      </c>
      <c r="B76" s="4">
        <v>21</v>
      </c>
      <c r="C76" s="3" t="s">
        <v>27</v>
      </c>
    </row>
    <row r="77" spans="1:3" x14ac:dyDescent="0.2">
      <c r="A77" s="3" t="s">
        <v>26</v>
      </c>
      <c r="B77" s="4">
        <v>22</v>
      </c>
      <c r="C77" s="3" t="s">
        <v>27</v>
      </c>
    </row>
    <row r="78" spans="1:3" x14ac:dyDescent="0.2">
      <c r="A78" s="3" t="s">
        <v>26</v>
      </c>
      <c r="B78" s="4">
        <v>30</v>
      </c>
      <c r="C78" s="3" t="s">
        <v>27</v>
      </c>
    </row>
    <row r="79" spans="1:3" x14ac:dyDescent="0.2">
      <c r="A79" s="3" t="s">
        <v>26</v>
      </c>
      <c r="B79" s="4">
        <v>40</v>
      </c>
      <c r="C79" s="3" t="s">
        <v>27</v>
      </c>
    </row>
    <row r="80" spans="1:3" x14ac:dyDescent="0.2">
      <c r="A80" s="3" t="s">
        <v>26</v>
      </c>
      <c r="B80" s="4">
        <v>41</v>
      </c>
      <c r="C80" s="3" t="s">
        <v>27</v>
      </c>
    </row>
    <row r="81" spans="1:3" x14ac:dyDescent="0.2">
      <c r="A81" s="3" t="s">
        <v>26</v>
      </c>
      <c r="B81" s="4">
        <v>42</v>
      </c>
      <c r="C81" s="3" t="s">
        <v>27</v>
      </c>
    </row>
    <row r="82" spans="1:3" x14ac:dyDescent="0.2">
      <c r="A82" s="3" t="s">
        <v>26</v>
      </c>
      <c r="B82" s="4">
        <v>43</v>
      </c>
      <c r="C82" s="3" t="s">
        <v>27</v>
      </c>
    </row>
    <row r="83" spans="1:3" x14ac:dyDescent="0.2">
      <c r="A83" s="3" t="s">
        <v>26</v>
      </c>
      <c r="B83" s="4">
        <v>44</v>
      </c>
      <c r="C83" s="3" t="s">
        <v>27</v>
      </c>
    </row>
    <row r="84" spans="1:3" x14ac:dyDescent="0.2">
      <c r="A84" s="3" t="s">
        <v>26</v>
      </c>
      <c r="B84" s="4">
        <v>45</v>
      </c>
      <c r="C84" s="3" t="s">
        <v>27</v>
      </c>
    </row>
    <row r="85" spans="1:3" x14ac:dyDescent="0.2">
      <c r="A85" s="3" t="s">
        <v>28</v>
      </c>
      <c r="B85" s="4">
        <v>80</v>
      </c>
      <c r="C85" s="3" t="s">
        <v>29</v>
      </c>
    </row>
    <row r="86" spans="1:3" x14ac:dyDescent="0.2">
      <c r="A86" s="3" t="s">
        <v>28</v>
      </c>
      <c r="B86" s="4">
        <v>81</v>
      </c>
      <c r="C86" s="3" t="s">
        <v>29</v>
      </c>
    </row>
    <row r="87" spans="1:3" x14ac:dyDescent="0.2">
      <c r="A87" s="3" t="s">
        <v>28</v>
      </c>
      <c r="B87" s="4">
        <v>82</v>
      </c>
      <c r="C87" s="3" t="s">
        <v>29</v>
      </c>
    </row>
    <row r="88" spans="1:3" x14ac:dyDescent="0.2">
      <c r="A88" s="3" t="s">
        <v>28</v>
      </c>
      <c r="B88" s="4">
        <v>83</v>
      </c>
      <c r="C88" s="3" t="s">
        <v>29</v>
      </c>
    </row>
    <row r="89" spans="1:3" x14ac:dyDescent="0.2">
      <c r="A89" s="3" t="s">
        <v>28</v>
      </c>
      <c r="B89" s="4">
        <v>85</v>
      </c>
      <c r="C89" s="3" t="s">
        <v>29</v>
      </c>
    </row>
    <row r="90" spans="1:3" x14ac:dyDescent="0.2">
      <c r="A90" s="3" t="s">
        <v>28</v>
      </c>
      <c r="B90" s="4">
        <v>86</v>
      </c>
      <c r="C90" s="3" t="s">
        <v>29</v>
      </c>
    </row>
    <row r="91" spans="1:3" x14ac:dyDescent="0.2">
      <c r="A91" s="3" t="s">
        <v>28</v>
      </c>
      <c r="B91" s="4">
        <v>89</v>
      </c>
      <c r="C91" s="3" t="s">
        <v>29</v>
      </c>
    </row>
    <row r="92" spans="1:3" x14ac:dyDescent="0.2">
      <c r="A92" s="3" t="s">
        <v>30</v>
      </c>
      <c r="B92" s="4">
        <v>1</v>
      </c>
      <c r="C92" s="3" t="s">
        <v>109</v>
      </c>
    </row>
    <row r="93" spans="1:3" x14ac:dyDescent="0.2">
      <c r="A93" s="3" t="s">
        <v>30</v>
      </c>
      <c r="B93" s="4">
        <v>2</v>
      </c>
      <c r="C93" s="3" t="s">
        <v>109</v>
      </c>
    </row>
    <row r="94" spans="1:3" x14ac:dyDescent="0.2">
      <c r="A94" s="3" t="s">
        <v>30</v>
      </c>
      <c r="B94" s="4">
        <v>3</v>
      </c>
      <c r="C94" s="3" t="s">
        <v>109</v>
      </c>
    </row>
    <row r="95" spans="1:3" x14ac:dyDescent="0.2">
      <c r="A95" s="3" t="s">
        <v>30</v>
      </c>
      <c r="B95" s="4">
        <v>4</v>
      </c>
      <c r="C95" s="3" t="s">
        <v>109</v>
      </c>
    </row>
    <row r="96" spans="1:3" x14ac:dyDescent="0.2">
      <c r="A96" s="3" t="s">
        <v>30</v>
      </c>
      <c r="B96" s="4">
        <v>5</v>
      </c>
      <c r="C96" s="3" t="s">
        <v>109</v>
      </c>
    </row>
    <row r="97" spans="1:3" x14ac:dyDescent="0.2">
      <c r="A97" s="3" t="s">
        <v>31</v>
      </c>
      <c r="B97" s="4">
        <v>1</v>
      </c>
      <c r="C97" s="3" t="s">
        <v>32</v>
      </c>
    </row>
    <row r="98" spans="1:3" x14ac:dyDescent="0.2">
      <c r="A98" s="3" t="s">
        <v>31</v>
      </c>
      <c r="B98" s="4">
        <v>2</v>
      </c>
      <c r="C98" s="3" t="s">
        <v>32</v>
      </c>
    </row>
    <row r="99" spans="1:3" x14ac:dyDescent="0.2">
      <c r="A99" s="3" t="s">
        <v>33</v>
      </c>
      <c r="B99" s="4">
        <v>1</v>
      </c>
      <c r="C99" s="3" t="s">
        <v>34</v>
      </c>
    </row>
    <row r="100" spans="1:3" x14ac:dyDescent="0.2">
      <c r="A100" s="3" t="s">
        <v>33</v>
      </c>
      <c r="B100" s="4">
        <v>2</v>
      </c>
      <c r="C100" s="3" t="s">
        <v>34</v>
      </c>
    </row>
    <row r="101" spans="1:3" x14ac:dyDescent="0.2">
      <c r="A101" s="3" t="s">
        <v>33</v>
      </c>
      <c r="B101" s="4">
        <v>3</v>
      </c>
      <c r="C101" s="3" t="s">
        <v>34</v>
      </c>
    </row>
    <row r="102" spans="1:3" x14ac:dyDescent="0.2">
      <c r="A102" s="3" t="s">
        <v>35</v>
      </c>
      <c r="B102" s="4">
        <v>433</v>
      </c>
      <c r="C102" s="3" t="s">
        <v>254</v>
      </c>
    </row>
    <row r="103" spans="1:3" x14ac:dyDescent="0.2">
      <c r="A103" s="3" t="s">
        <v>35</v>
      </c>
      <c r="B103" s="4">
        <v>434</v>
      </c>
      <c r="C103" s="3" t="s">
        <v>254</v>
      </c>
    </row>
    <row r="104" spans="1:3" x14ac:dyDescent="0.2">
      <c r="A104" s="3" t="s">
        <v>585</v>
      </c>
      <c r="B104" s="4">
        <v>452</v>
      </c>
      <c r="C104" s="3" t="s">
        <v>254</v>
      </c>
    </row>
    <row r="105" spans="1:3" x14ac:dyDescent="0.2">
      <c r="A105" s="3" t="s">
        <v>36</v>
      </c>
      <c r="B105" s="4">
        <v>1</v>
      </c>
      <c r="C105" s="3" t="s">
        <v>37</v>
      </c>
    </row>
    <row r="106" spans="1:3" x14ac:dyDescent="0.2">
      <c r="A106" s="3" t="s">
        <v>36</v>
      </c>
      <c r="B106" s="4">
        <v>2</v>
      </c>
      <c r="C106" s="3" t="s">
        <v>37</v>
      </c>
    </row>
    <row r="107" spans="1:3" x14ac:dyDescent="0.2">
      <c r="A107" s="3" t="s">
        <v>36</v>
      </c>
      <c r="B107" s="4">
        <v>3</v>
      </c>
      <c r="C107" s="3" t="s">
        <v>37</v>
      </c>
    </row>
    <row r="108" spans="1:3" x14ac:dyDescent="0.2">
      <c r="A108" s="3" t="s">
        <v>38</v>
      </c>
      <c r="B108" s="4">
        <v>1</v>
      </c>
      <c r="C108" s="3" t="s">
        <v>39</v>
      </c>
    </row>
    <row r="109" spans="1:3" x14ac:dyDescent="0.2">
      <c r="A109" s="3" t="s">
        <v>38</v>
      </c>
      <c r="B109" s="4">
        <v>2</v>
      </c>
      <c r="C109" s="3" t="s">
        <v>39</v>
      </c>
    </row>
    <row r="110" spans="1:3" x14ac:dyDescent="0.2">
      <c r="A110" s="3" t="s">
        <v>38</v>
      </c>
      <c r="B110" s="4">
        <v>3</v>
      </c>
      <c r="C110" s="3" t="s">
        <v>39</v>
      </c>
    </row>
    <row r="111" spans="1:3" x14ac:dyDescent="0.2">
      <c r="A111" s="3" t="s">
        <v>38</v>
      </c>
      <c r="B111" s="4">
        <v>4</v>
      </c>
      <c r="C111" s="3" t="s">
        <v>39</v>
      </c>
    </row>
    <row r="112" spans="1:3" x14ac:dyDescent="0.2">
      <c r="A112" s="3" t="s">
        <v>38</v>
      </c>
      <c r="B112" s="4" t="s">
        <v>40</v>
      </c>
      <c r="C112" s="3" t="s">
        <v>39</v>
      </c>
    </row>
    <row r="113" spans="1:3" x14ac:dyDescent="0.2">
      <c r="A113" s="3" t="s">
        <v>41</v>
      </c>
      <c r="B113" s="4">
        <v>12</v>
      </c>
      <c r="C113" s="3" t="s">
        <v>42</v>
      </c>
    </row>
    <row r="114" spans="1:3" x14ac:dyDescent="0.2">
      <c r="A114" s="3" t="s">
        <v>41</v>
      </c>
      <c r="B114" s="4">
        <v>14</v>
      </c>
      <c r="C114" s="3" t="s">
        <v>42</v>
      </c>
    </row>
    <row r="115" spans="1:3" x14ac:dyDescent="0.2">
      <c r="A115" s="3" t="s">
        <v>43</v>
      </c>
      <c r="B115" s="4">
        <v>1</v>
      </c>
      <c r="C115" s="3" t="s">
        <v>42</v>
      </c>
    </row>
    <row r="116" spans="1:3" x14ac:dyDescent="0.2">
      <c r="A116" s="3" t="s">
        <v>43</v>
      </c>
      <c r="B116" s="4">
        <v>2</v>
      </c>
      <c r="C116" s="3" t="s">
        <v>42</v>
      </c>
    </row>
    <row r="117" spans="1:3" x14ac:dyDescent="0.2">
      <c r="A117" s="3" t="s">
        <v>43</v>
      </c>
      <c r="B117" s="4">
        <v>3</v>
      </c>
      <c r="C117" s="3" t="s">
        <v>42</v>
      </c>
    </row>
    <row r="118" spans="1:3" x14ac:dyDescent="0.2">
      <c r="A118" s="3" t="s">
        <v>43</v>
      </c>
      <c r="B118" s="4">
        <v>13</v>
      </c>
      <c r="C118" s="3" t="s">
        <v>44</v>
      </c>
    </row>
    <row r="119" spans="1:3" x14ac:dyDescent="0.2">
      <c r="A119" s="3" t="s">
        <v>45</v>
      </c>
      <c r="B119" s="4">
        <v>1</v>
      </c>
      <c r="C119" s="3" t="s">
        <v>42</v>
      </c>
    </row>
    <row r="120" spans="1:3" x14ac:dyDescent="0.2">
      <c r="A120" s="3" t="s">
        <v>45</v>
      </c>
      <c r="B120" s="4">
        <v>2</v>
      </c>
      <c r="C120" s="3" t="s">
        <v>42</v>
      </c>
    </row>
    <row r="121" spans="1:3" x14ac:dyDescent="0.2">
      <c r="A121" s="3" t="s">
        <v>45</v>
      </c>
      <c r="B121" s="4">
        <v>3</v>
      </c>
      <c r="C121" s="3" t="s">
        <v>42</v>
      </c>
    </row>
    <row r="122" spans="1:3" x14ac:dyDescent="0.2">
      <c r="A122" s="3" t="s">
        <v>46</v>
      </c>
      <c r="B122" s="4">
        <v>1</v>
      </c>
      <c r="C122" s="3" t="s">
        <v>334</v>
      </c>
    </row>
    <row r="123" spans="1:3" x14ac:dyDescent="0.2">
      <c r="A123" s="3" t="s">
        <v>46</v>
      </c>
      <c r="B123" s="4">
        <v>2</v>
      </c>
      <c r="C123" s="3" t="s">
        <v>334</v>
      </c>
    </row>
    <row r="124" spans="1:3" x14ac:dyDescent="0.2">
      <c r="A124" s="3" t="s">
        <v>46</v>
      </c>
      <c r="B124" s="4">
        <v>3</v>
      </c>
      <c r="C124" s="3" t="s">
        <v>334</v>
      </c>
    </row>
    <row r="125" spans="1:3" x14ac:dyDescent="0.2">
      <c r="A125" s="3" t="s">
        <v>46</v>
      </c>
      <c r="B125" s="4">
        <v>4</v>
      </c>
      <c r="C125" s="3" t="s">
        <v>334</v>
      </c>
    </row>
    <row r="126" spans="1:3" x14ac:dyDescent="0.2">
      <c r="A126" s="3" t="s">
        <v>46</v>
      </c>
      <c r="B126" s="4">
        <v>5</v>
      </c>
      <c r="C126" s="3" t="s">
        <v>334</v>
      </c>
    </row>
    <row r="127" spans="1:3" x14ac:dyDescent="0.2">
      <c r="A127" s="3" t="s">
        <v>46</v>
      </c>
      <c r="B127" s="4">
        <v>6</v>
      </c>
      <c r="C127" s="3" t="s">
        <v>334</v>
      </c>
    </row>
    <row r="128" spans="1:3" x14ac:dyDescent="0.2">
      <c r="A128" s="3" t="s">
        <v>46</v>
      </c>
      <c r="B128" s="4">
        <v>7</v>
      </c>
      <c r="C128" s="3" t="s">
        <v>334</v>
      </c>
    </row>
    <row r="129" spans="1:3" x14ac:dyDescent="0.2">
      <c r="A129" s="3" t="s">
        <v>48</v>
      </c>
      <c r="B129" s="4">
        <v>1</v>
      </c>
      <c r="C129" s="3" t="s">
        <v>49</v>
      </c>
    </row>
    <row r="130" spans="1:3" x14ac:dyDescent="0.2">
      <c r="A130" s="3" t="s">
        <v>48</v>
      </c>
      <c r="B130" s="4">
        <v>2</v>
      </c>
      <c r="C130" s="3" t="s">
        <v>49</v>
      </c>
    </row>
    <row r="131" spans="1:3" x14ac:dyDescent="0.2">
      <c r="A131" s="3" t="s">
        <v>48</v>
      </c>
      <c r="B131" s="4">
        <v>3</v>
      </c>
      <c r="C131" s="3" t="s">
        <v>49</v>
      </c>
    </row>
    <row r="132" spans="1:3" x14ac:dyDescent="0.2">
      <c r="A132" s="3" t="s">
        <v>48</v>
      </c>
      <c r="B132" s="4">
        <v>4</v>
      </c>
      <c r="C132" s="3" t="s">
        <v>49</v>
      </c>
    </row>
    <row r="133" spans="1:3" x14ac:dyDescent="0.2">
      <c r="A133" s="3" t="s">
        <v>48</v>
      </c>
      <c r="B133" s="4">
        <v>5</v>
      </c>
      <c r="C133" s="3" t="s">
        <v>49</v>
      </c>
    </row>
    <row r="134" spans="1:3" x14ac:dyDescent="0.2">
      <c r="A134" s="3" t="s">
        <v>48</v>
      </c>
      <c r="B134" s="4">
        <v>6</v>
      </c>
      <c r="C134" s="3" t="s">
        <v>49</v>
      </c>
    </row>
    <row r="135" spans="1:3" x14ac:dyDescent="0.2">
      <c r="A135" s="3" t="s">
        <v>50</v>
      </c>
      <c r="B135" s="4">
        <v>1</v>
      </c>
      <c r="C135" s="3" t="s">
        <v>51</v>
      </c>
    </row>
    <row r="136" spans="1:3" x14ac:dyDescent="0.2">
      <c r="A136" s="3" t="s">
        <v>50</v>
      </c>
      <c r="B136" s="4">
        <v>2</v>
      </c>
      <c r="C136" s="3" t="s">
        <v>51</v>
      </c>
    </row>
    <row r="137" spans="1:3" x14ac:dyDescent="0.2">
      <c r="A137" s="3" t="s">
        <v>50</v>
      </c>
      <c r="B137" s="4">
        <v>3</v>
      </c>
      <c r="C137" s="3" t="s">
        <v>51</v>
      </c>
    </row>
    <row r="138" spans="1:3" x14ac:dyDescent="0.2">
      <c r="A138" s="3" t="s">
        <v>50</v>
      </c>
      <c r="B138" s="4">
        <v>4</v>
      </c>
      <c r="C138" s="3" t="s">
        <v>51</v>
      </c>
    </row>
    <row r="139" spans="1:3" x14ac:dyDescent="0.2">
      <c r="A139" s="3" t="s">
        <v>50</v>
      </c>
      <c r="B139" s="4">
        <v>5</v>
      </c>
      <c r="C139" s="3" t="s">
        <v>51</v>
      </c>
    </row>
    <row r="140" spans="1:3" x14ac:dyDescent="0.2">
      <c r="A140" s="3" t="s">
        <v>50</v>
      </c>
      <c r="B140" s="4">
        <v>8</v>
      </c>
      <c r="C140" s="3" t="s">
        <v>51</v>
      </c>
    </row>
    <row r="141" spans="1:3" x14ac:dyDescent="0.2">
      <c r="A141" s="3" t="s">
        <v>52</v>
      </c>
      <c r="B141" s="4" t="s">
        <v>40</v>
      </c>
      <c r="C141" s="3" t="s">
        <v>51</v>
      </c>
    </row>
    <row r="142" spans="1:3" x14ac:dyDescent="0.2">
      <c r="A142" s="3" t="s">
        <v>53</v>
      </c>
      <c r="B142" s="4">
        <v>1</v>
      </c>
      <c r="C142" s="3" t="s">
        <v>168</v>
      </c>
    </row>
    <row r="143" spans="1:3" x14ac:dyDescent="0.2">
      <c r="A143" s="3" t="s">
        <v>53</v>
      </c>
      <c r="B143" s="4">
        <v>2</v>
      </c>
      <c r="C143" s="3" t="s">
        <v>168</v>
      </c>
    </row>
    <row r="144" spans="1:3" x14ac:dyDescent="0.2">
      <c r="A144" s="3" t="s">
        <v>53</v>
      </c>
      <c r="B144" s="4">
        <v>3</v>
      </c>
      <c r="C144" s="3" t="s">
        <v>168</v>
      </c>
    </row>
    <row r="145" spans="1:3" x14ac:dyDescent="0.2">
      <c r="A145" s="3" t="s">
        <v>53</v>
      </c>
      <c r="B145" s="4">
        <v>4</v>
      </c>
      <c r="C145" s="3" t="s">
        <v>168</v>
      </c>
    </row>
    <row r="146" spans="1:3" x14ac:dyDescent="0.2">
      <c r="A146" s="3" t="s">
        <v>54</v>
      </c>
      <c r="B146" s="4">
        <v>1</v>
      </c>
      <c r="C146" s="3" t="s">
        <v>55</v>
      </c>
    </row>
    <row r="147" spans="1:3" x14ac:dyDescent="0.2">
      <c r="A147" s="3" t="s">
        <v>54</v>
      </c>
      <c r="B147" s="4">
        <v>2</v>
      </c>
      <c r="C147" s="3" t="s">
        <v>55</v>
      </c>
    </row>
    <row r="148" spans="1:3" x14ac:dyDescent="0.2">
      <c r="A148" s="3" t="s">
        <v>54</v>
      </c>
      <c r="B148" s="4">
        <v>3</v>
      </c>
      <c r="C148" s="3" t="s">
        <v>55</v>
      </c>
    </row>
    <row r="149" spans="1:3" x14ac:dyDescent="0.2">
      <c r="A149" s="3" t="s">
        <v>54</v>
      </c>
      <c r="B149" s="4">
        <v>4</v>
      </c>
      <c r="C149" s="3" t="s">
        <v>55</v>
      </c>
    </row>
    <row r="150" spans="1:3" x14ac:dyDescent="0.2">
      <c r="A150" s="3" t="s">
        <v>54</v>
      </c>
      <c r="B150" s="4">
        <v>5</v>
      </c>
      <c r="C150" s="3" t="s">
        <v>55</v>
      </c>
    </row>
    <row r="151" spans="1:3" x14ac:dyDescent="0.2">
      <c r="A151" s="3" t="s">
        <v>54</v>
      </c>
      <c r="B151" s="4">
        <v>6</v>
      </c>
      <c r="C151" s="3" t="s">
        <v>55</v>
      </c>
    </row>
    <row r="152" spans="1:3" x14ac:dyDescent="0.2">
      <c r="A152" s="3" t="s">
        <v>54</v>
      </c>
      <c r="B152" s="4">
        <v>7</v>
      </c>
      <c r="C152" s="3" t="s">
        <v>55</v>
      </c>
    </row>
    <row r="153" spans="1:3" x14ac:dyDescent="0.2">
      <c r="A153" s="3" t="s">
        <v>54</v>
      </c>
      <c r="B153" s="4">
        <v>8</v>
      </c>
      <c r="C153" s="3" t="s">
        <v>55</v>
      </c>
    </row>
    <row r="154" spans="1:3" x14ac:dyDescent="0.2">
      <c r="A154" s="3" t="s">
        <v>54</v>
      </c>
      <c r="B154" s="4">
        <v>9</v>
      </c>
      <c r="C154" s="3" t="s">
        <v>55</v>
      </c>
    </row>
    <row r="155" spans="1:3" x14ac:dyDescent="0.2">
      <c r="A155" s="3" t="s">
        <v>56</v>
      </c>
      <c r="B155" s="4">
        <v>1</v>
      </c>
      <c r="C155" s="3" t="s">
        <v>57</v>
      </c>
    </row>
    <row r="156" spans="1:3" x14ac:dyDescent="0.2">
      <c r="A156" s="3" t="s">
        <v>56</v>
      </c>
      <c r="B156" s="4">
        <v>2</v>
      </c>
      <c r="C156" s="3" t="s">
        <v>57</v>
      </c>
    </row>
    <row r="157" spans="1:3" x14ac:dyDescent="0.2">
      <c r="A157" s="3" t="s">
        <v>56</v>
      </c>
      <c r="B157" s="4">
        <v>3</v>
      </c>
      <c r="C157" s="3" t="s">
        <v>57</v>
      </c>
    </row>
    <row r="158" spans="1:3" x14ac:dyDescent="0.2">
      <c r="A158" s="3" t="s">
        <v>58</v>
      </c>
      <c r="B158" s="4">
        <v>400</v>
      </c>
      <c r="C158" s="3" t="s">
        <v>59</v>
      </c>
    </row>
    <row r="159" spans="1:3" x14ac:dyDescent="0.2">
      <c r="A159" s="3" t="s">
        <v>58</v>
      </c>
      <c r="B159" s="4">
        <v>401</v>
      </c>
      <c r="C159" s="3" t="s">
        <v>59</v>
      </c>
    </row>
    <row r="160" spans="1:3" x14ac:dyDescent="0.2">
      <c r="A160" s="3" t="s">
        <v>58</v>
      </c>
      <c r="B160" s="4">
        <v>500</v>
      </c>
      <c r="C160" s="3" t="s">
        <v>59</v>
      </c>
    </row>
    <row r="161" spans="1:3" x14ac:dyDescent="0.2">
      <c r="A161" s="3" t="s">
        <v>58</v>
      </c>
      <c r="B161" s="4">
        <v>501</v>
      </c>
      <c r="C161" s="3" t="s">
        <v>59</v>
      </c>
    </row>
    <row r="162" spans="1:3" x14ac:dyDescent="0.2">
      <c r="A162" s="3" t="s">
        <v>58</v>
      </c>
      <c r="B162" s="4">
        <v>600</v>
      </c>
      <c r="C162" s="3" t="s">
        <v>59</v>
      </c>
    </row>
    <row r="163" spans="1:3" x14ac:dyDescent="0.2">
      <c r="A163" s="3" t="s">
        <v>58</v>
      </c>
      <c r="B163" s="4">
        <v>601</v>
      </c>
      <c r="C163" s="3" t="s">
        <v>59</v>
      </c>
    </row>
    <row r="164" spans="1:3" x14ac:dyDescent="0.2">
      <c r="A164" s="3" t="s">
        <v>58</v>
      </c>
      <c r="B164" s="4">
        <v>602</v>
      </c>
      <c r="C164" s="3" t="s">
        <v>59</v>
      </c>
    </row>
    <row r="165" spans="1:3" x14ac:dyDescent="0.2">
      <c r="A165" s="3" t="s">
        <v>58</v>
      </c>
      <c r="B165" s="4">
        <v>100</v>
      </c>
      <c r="C165" s="3" t="s">
        <v>59</v>
      </c>
    </row>
    <row r="166" spans="1:3" x14ac:dyDescent="0.2">
      <c r="A166" s="3" t="s">
        <v>58</v>
      </c>
      <c r="B166" s="4">
        <v>200</v>
      </c>
      <c r="C166" s="3" t="s">
        <v>59</v>
      </c>
    </row>
    <row r="167" spans="1:3" x14ac:dyDescent="0.2">
      <c r="A167" s="3" t="s">
        <v>58</v>
      </c>
      <c r="B167" s="4">
        <v>211</v>
      </c>
      <c r="C167" s="3" t="s">
        <v>59</v>
      </c>
    </row>
    <row r="168" spans="1:3" x14ac:dyDescent="0.2">
      <c r="A168" s="3" t="s">
        <v>58</v>
      </c>
      <c r="B168" s="4">
        <v>311</v>
      </c>
      <c r="C168" s="3" t="s">
        <v>59</v>
      </c>
    </row>
    <row r="169" spans="1:3" x14ac:dyDescent="0.2">
      <c r="A169" s="3" t="s">
        <v>58</v>
      </c>
      <c r="B169" s="4">
        <v>312</v>
      </c>
      <c r="C169" s="3" t="s">
        <v>59</v>
      </c>
    </row>
    <row r="170" spans="1:3" x14ac:dyDescent="0.2">
      <c r="A170" s="3" t="s">
        <v>58</v>
      </c>
      <c r="B170" s="4">
        <v>250</v>
      </c>
      <c r="C170" s="3" t="s">
        <v>59</v>
      </c>
    </row>
    <row r="171" spans="1:3" x14ac:dyDescent="0.2">
      <c r="A171" s="3" t="s">
        <v>58</v>
      </c>
      <c r="B171" s="4">
        <v>300</v>
      </c>
      <c r="C171" s="3" t="s">
        <v>59</v>
      </c>
    </row>
    <row r="172" spans="1:3" x14ac:dyDescent="0.2">
      <c r="A172" s="3" t="s">
        <v>58</v>
      </c>
      <c r="B172" s="4" t="s">
        <v>60</v>
      </c>
      <c r="C172" s="3" t="s">
        <v>59</v>
      </c>
    </row>
    <row r="173" spans="1:3" x14ac:dyDescent="0.2">
      <c r="A173" s="3" t="s">
        <v>58</v>
      </c>
      <c r="B173" s="4" t="s">
        <v>61</v>
      </c>
      <c r="C173" s="3" t="s">
        <v>59</v>
      </c>
    </row>
    <row r="174" spans="1:3" x14ac:dyDescent="0.2">
      <c r="A174" s="3" t="s">
        <v>58</v>
      </c>
      <c r="B174" s="4" t="s">
        <v>62</v>
      </c>
      <c r="C174" s="3" t="s">
        <v>59</v>
      </c>
    </row>
    <row r="175" spans="1:3" x14ac:dyDescent="0.2">
      <c r="A175" s="3" t="s">
        <v>63</v>
      </c>
      <c r="B175" s="4">
        <v>1</v>
      </c>
      <c r="C175" s="3" t="s">
        <v>64</v>
      </c>
    </row>
    <row r="176" spans="1:3" x14ac:dyDescent="0.2">
      <c r="A176" s="3" t="s">
        <v>63</v>
      </c>
      <c r="B176" s="4">
        <v>2</v>
      </c>
      <c r="C176" s="3" t="s">
        <v>64</v>
      </c>
    </row>
    <row r="177" spans="1:3" x14ac:dyDescent="0.2">
      <c r="A177" s="3" t="s">
        <v>65</v>
      </c>
      <c r="B177" s="4">
        <v>1</v>
      </c>
      <c r="C177" s="3" t="s">
        <v>66</v>
      </c>
    </row>
    <row r="178" spans="1:3" x14ac:dyDescent="0.2">
      <c r="A178" s="3" t="s">
        <v>65</v>
      </c>
      <c r="B178" s="4">
        <v>2</v>
      </c>
      <c r="C178" s="3" t="s">
        <v>66</v>
      </c>
    </row>
    <row r="179" spans="1:3" x14ac:dyDescent="0.2">
      <c r="A179" s="3" t="s">
        <v>65</v>
      </c>
      <c r="B179" s="4">
        <v>3</v>
      </c>
      <c r="C179" s="3" t="s">
        <v>66</v>
      </c>
    </row>
    <row r="180" spans="1:3" x14ac:dyDescent="0.2">
      <c r="A180" s="3" t="s">
        <v>65</v>
      </c>
      <c r="B180" s="4">
        <v>4</v>
      </c>
      <c r="C180" s="3" t="s">
        <v>66</v>
      </c>
    </row>
    <row r="181" spans="1:3" x14ac:dyDescent="0.2">
      <c r="A181" s="3" t="s">
        <v>65</v>
      </c>
      <c r="B181" s="4">
        <v>5</v>
      </c>
      <c r="C181" s="3" t="s">
        <v>66</v>
      </c>
    </row>
    <row r="182" spans="1:3" x14ac:dyDescent="0.2">
      <c r="A182" s="3" t="s">
        <v>67</v>
      </c>
      <c r="B182" s="4">
        <v>1</v>
      </c>
      <c r="C182" s="3" t="s">
        <v>66</v>
      </c>
    </row>
    <row r="183" spans="1:3" x14ac:dyDescent="0.2">
      <c r="A183" s="3" t="s">
        <v>67</v>
      </c>
      <c r="B183" s="4">
        <v>2</v>
      </c>
      <c r="C183" s="3" t="s">
        <v>66</v>
      </c>
    </row>
    <row r="184" spans="1:3" x14ac:dyDescent="0.2">
      <c r="A184" s="3" t="s">
        <v>67</v>
      </c>
      <c r="B184" s="4">
        <v>3</v>
      </c>
      <c r="C184" s="3" t="s">
        <v>66</v>
      </c>
    </row>
    <row r="185" spans="1:3" x14ac:dyDescent="0.2">
      <c r="A185" s="3" t="s">
        <v>67</v>
      </c>
      <c r="B185" s="4" t="s">
        <v>68</v>
      </c>
      <c r="C185" s="3" t="s">
        <v>66</v>
      </c>
    </row>
    <row r="186" spans="1:3" x14ac:dyDescent="0.2">
      <c r="A186" s="3" t="s">
        <v>69</v>
      </c>
      <c r="B186" s="4" t="s">
        <v>40</v>
      </c>
      <c r="C186" s="3" t="s">
        <v>66</v>
      </c>
    </row>
    <row r="187" spans="1:3" x14ac:dyDescent="0.2">
      <c r="A187" s="3" t="s">
        <v>70</v>
      </c>
      <c r="B187" s="4">
        <v>401</v>
      </c>
      <c r="C187" s="3" t="s">
        <v>286</v>
      </c>
    </row>
    <row r="188" spans="1:3" x14ac:dyDescent="0.2">
      <c r="A188" s="3" t="s">
        <v>70</v>
      </c>
      <c r="B188" s="4">
        <v>402</v>
      </c>
      <c r="C188" s="3" t="s">
        <v>286</v>
      </c>
    </row>
    <row r="189" spans="1:3" x14ac:dyDescent="0.2">
      <c r="A189" s="3" t="s">
        <v>70</v>
      </c>
      <c r="B189" s="4">
        <v>403</v>
      </c>
      <c r="C189" s="3" t="s">
        <v>286</v>
      </c>
    </row>
    <row r="190" spans="1:3" x14ac:dyDescent="0.2">
      <c r="A190" s="3" t="s">
        <v>70</v>
      </c>
      <c r="B190" s="4">
        <v>404</v>
      </c>
      <c r="C190" s="3" t="s">
        <v>286</v>
      </c>
    </row>
    <row r="191" spans="1:3" x14ac:dyDescent="0.2">
      <c r="A191" s="3" t="s">
        <v>71</v>
      </c>
      <c r="B191" s="4">
        <v>1</v>
      </c>
      <c r="C191" s="3" t="s">
        <v>72</v>
      </c>
    </row>
    <row r="192" spans="1:3" x14ac:dyDescent="0.2">
      <c r="A192" s="3" t="s">
        <v>71</v>
      </c>
      <c r="B192" s="4">
        <v>2</v>
      </c>
      <c r="C192" s="3" t="s">
        <v>72</v>
      </c>
    </row>
    <row r="193" spans="1:3" x14ac:dyDescent="0.2">
      <c r="A193" s="3" t="s">
        <v>71</v>
      </c>
      <c r="B193" s="4">
        <v>3</v>
      </c>
      <c r="C193" s="3" t="s">
        <v>72</v>
      </c>
    </row>
    <row r="194" spans="1:3" x14ac:dyDescent="0.2">
      <c r="A194" s="3" t="s">
        <v>73</v>
      </c>
      <c r="B194" s="4">
        <v>1</v>
      </c>
      <c r="C194" s="3" t="s">
        <v>74</v>
      </c>
    </row>
    <row r="195" spans="1:3" x14ac:dyDescent="0.2">
      <c r="A195" s="3" t="s">
        <v>73</v>
      </c>
      <c r="B195" s="4">
        <v>2</v>
      </c>
      <c r="C195" s="3" t="s">
        <v>74</v>
      </c>
    </row>
    <row r="196" spans="1:3" x14ac:dyDescent="0.2">
      <c r="A196" s="3" t="s">
        <v>75</v>
      </c>
      <c r="B196" s="4">
        <v>1</v>
      </c>
      <c r="C196" s="3" t="s">
        <v>76</v>
      </c>
    </row>
    <row r="197" spans="1:3" x14ac:dyDescent="0.2">
      <c r="A197" s="3" t="s">
        <v>75</v>
      </c>
      <c r="B197" s="4">
        <v>2</v>
      </c>
      <c r="C197" s="3" t="s">
        <v>76</v>
      </c>
    </row>
    <row r="198" spans="1:3" x14ac:dyDescent="0.2">
      <c r="A198" s="3" t="s">
        <v>75</v>
      </c>
      <c r="B198" s="4">
        <v>3</v>
      </c>
      <c r="C198" s="3" t="s">
        <v>76</v>
      </c>
    </row>
    <row r="199" spans="1:3" x14ac:dyDescent="0.2">
      <c r="A199" s="3" t="s">
        <v>75</v>
      </c>
      <c r="B199" s="4">
        <v>4</v>
      </c>
      <c r="C199" s="3" t="s">
        <v>76</v>
      </c>
    </row>
    <row r="200" spans="1:3" x14ac:dyDescent="0.2">
      <c r="A200" s="3" t="s">
        <v>75</v>
      </c>
      <c r="B200" s="4">
        <v>5</v>
      </c>
      <c r="C200" s="3" t="s">
        <v>76</v>
      </c>
    </row>
    <row r="201" spans="1:3" x14ac:dyDescent="0.2">
      <c r="A201" s="3" t="s">
        <v>75</v>
      </c>
      <c r="B201" s="4">
        <v>6</v>
      </c>
      <c r="C201" s="3" t="s">
        <v>76</v>
      </c>
    </row>
    <row r="202" spans="1:3" x14ac:dyDescent="0.2">
      <c r="A202" s="3" t="s">
        <v>75</v>
      </c>
      <c r="B202" s="4">
        <v>7</v>
      </c>
      <c r="C202" s="3" t="s">
        <v>76</v>
      </c>
    </row>
    <row r="203" spans="1:3" x14ac:dyDescent="0.2">
      <c r="A203" s="3" t="s">
        <v>75</v>
      </c>
      <c r="B203" s="4">
        <v>8</v>
      </c>
      <c r="C203" s="3" t="s">
        <v>76</v>
      </c>
    </row>
    <row r="204" spans="1:3" x14ac:dyDescent="0.2">
      <c r="A204" s="3" t="s">
        <v>75</v>
      </c>
      <c r="B204" s="4">
        <v>9</v>
      </c>
      <c r="C204" s="3" t="s">
        <v>76</v>
      </c>
    </row>
    <row r="205" spans="1:3" x14ac:dyDescent="0.2">
      <c r="A205" s="3" t="s">
        <v>77</v>
      </c>
      <c r="B205" s="4" t="s">
        <v>40</v>
      </c>
      <c r="C205" s="3" t="s">
        <v>293</v>
      </c>
    </row>
    <row r="206" spans="1:3" x14ac:dyDescent="0.2">
      <c r="A206" s="3" t="s">
        <v>78</v>
      </c>
      <c r="B206" s="4" t="s">
        <v>40</v>
      </c>
      <c r="C206" s="3" t="s">
        <v>79</v>
      </c>
    </row>
    <row r="207" spans="1:3" x14ac:dyDescent="0.2">
      <c r="A207" s="3" t="s">
        <v>80</v>
      </c>
      <c r="B207" s="4">
        <v>1</v>
      </c>
      <c r="C207" s="3" t="s">
        <v>258</v>
      </c>
    </row>
    <row r="208" spans="1:3" x14ac:dyDescent="0.2">
      <c r="A208" s="3" t="s">
        <v>80</v>
      </c>
      <c r="B208" s="4">
        <v>2</v>
      </c>
      <c r="C208" s="3" t="s">
        <v>258</v>
      </c>
    </row>
    <row r="209" spans="1:3" x14ac:dyDescent="0.2">
      <c r="A209" s="3" t="s">
        <v>81</v>
      </c>
      <c r="B209" s="4" t="s">
        <v>40</v>
      </c>
      <c r="C209" s="3" t="s">
        <v>42</v>
      </c>
    </row>
    <row r="210" spans="1:3" x14ac:dyDescent="0.2">
      <c r="A210" s="3" t="s">
        <v>82</v>
      </c>
      <c r="B210" s="4">
        <v>901</v>
      </c>
      <c r="C210" s="3" t="s">
        <v>83</v>
      </c>
    </row>
    <row r="211" spans="1:3" x14ac:dyDescent="0.2">
      <c r="A211" s="3" t="s">
        <v>82</v>
      </c>
      <c r="B211" s="4">
        <v>902</v>
      </c>
      <c r="C211" s="3" t="s">
        <v>83</v>
      </c>
    </row>
    <row r="212" spans="1:3" x14ac:dyDescent="0.2">
      <c r="A212" s="3" t="s">
        <v>82</v>
      </c>
      <c r="B212" s="4">
        <v>903</v>
      </c>
      <c r="C212" s="3" t="s">
        <v>83</v>
      </c>
    </row>
    <row r="213" spans="1:3" x14ac:dyDescent="0.2">
      <c r="A213" s="3" t="s">
        <v>82</v>
      </c>
      <c r="B213" s="4">
        <v>906</v>
      </c>
      <c r="C213" s="3" t="s">
        <v>84</v>
      </c>
    </row>
    <row r="214" spans="1:3" x14ac:dyDescent="0.2">
      <c r="A214" s="3" t="s">
        <v>82</v>
      </c>
      <c r="B214" s="4">
        <v>907</v>
      </c>
      <c r="C214" s="3" t="s">
        <v>84</v>
      </c>
    </row>
    <row r="215" spans="1:3" x14ac:dyDescent="0.2">
      <c r="A215" s="3" t="s">
        <v>82</v>
      </c>
      <c r="B215" s="4">
        <v>908</v>
      </c>
      <c r="C215" s="3" t="s">
        <v>84</v>
      </c>
    </row>
    <row r="216" spans="1:3" x14ac:dyDescent="0.2">
      <c r="A216" s="3" t="s">
        <v>82</v>
      </c>
      <c r="B216" s="4">
        <v>909</v>
      </c>
      <c r="C216" s="3" t="s">
        <v>84</v>
      </c>
    </row>
    <row r="217" spans="1:3" x14ac:dyDescent="0.2">
      <c r="A217" s="3" t="s">
        <v>85</v>
      </c>
      <c r="B217" s="4">
        <v>150</v>
      </c>
      <c r="C217" s="3" t="s">
        <v>83</v>
      </c>
    </row>
    <row r="218" spans="1:3" x14ac:dyDescent="0.2">
      <c r="A218" s="3" t="s">
        <v>85</v>
      </c>
      <c r="B218" s="4">
        <v>160</v>
      </c>
      <c r="C218" s="3" t="s">
        <v>83</v>
      </c>
    </row>
    <row r="219" spans="1:3" x14ac:dyDescent="0.2">
      <c r="A219" s="3" t="s">
        <v>85</v>
      </c>
      <c r="B219" s="4" t="s">
        <v>86</v>
      </c>
      <c r="C219" s="3" t="s">
        <v>83</v>
      </c>
    </row>
    <row r="220" spans="1:3" x14ac:dyDescent="0.2">
      <c r="A220" s="3" t="s">
        <v>85</v>
      </c>
      <c r="B220" s="4" t="s">
        <v>87</v>
      </c>
      <c r="C220" s="3" t="s">
        <v>83</v>
      </c>
    </row>
    <row r="221" spans="1:3" x14ac:dyDescent="0.2">
      <c r="A221" s="3" t="s">
        <v>85</v>
      </c>
      <c r="B221" s="4" t="s">
        <v>88</v>
      </c>
      <c r="C221" s="3" t="s">
        <v>83</v>
      </c>
    </row>
    <row r="222" spans="1:3" x14ac:dyDescent="0.2">
      <c r="A222" s="3" t="s">
        <v>85</v>
      </c>
      <c r="B222" s="4" t="s">
        <v>89</v>
      </c>
      <c r="C222" s="3" t="s">
        <v>83</v>
      </c>
    </row>
    <row r="223" spans="1:3" x14ac:dyDescent="0.2">
      <c r="A223" s="3" t="s">
        <v>85</v>
      </c>
      <c r="B223" s="4" t="s">
        <v>90</v>
      </c>
      <c r="C223" s="3" t="s">
        <v>83</v>
      </c>
    </row>
    <row r="224" spans="1:3" x14ac:dyDescent="0.2">
      <c r="A224" s="3" t="s">
        <v>85</v>
      </c>
      <c r="B224" s="4" t="s">
        <v>91</v>
      </c>
      <c r="C224" s="3" t="s">
        <v>83</v>
      </c>
    </row>
    <row r="225" spans="1:3" x14ac:dyDescent="0.2">
      <c r="A225" s="3" t="s">
        <v>85</v>
      </c>
      <c r="B225" s="4" t="s">
        <v>92</v>
      </c>
      <c r="C225" s="3" t="s">
        <v>83</v>
      </c>
    </row>
    <row r="226" spans="1:3" x14ac:dyDescent="0.2">
      <c r="A226" s="3" t="s">
        <v>85</v>
      </c>
      <c r="B226" s="4" t="s">
        <v>93</v>
      </c>
      <c r="C226" s="3" t="s">
        <v>83</v>
      </c>
    </row>
    <row r="227" spans="1:3" x14ac:dyDescent="0.2">
      <c r="A227" s="3" t="s">
        <v>85</v>
      </c>
      <c r="B227" s="4" t="s">
        <v>94</v>
      </c>
      <c r="C227" s="3" t="s">
        <v>83</v>
      </c>
    </row>
    <row r="228" spans="1:3" x14ac:dyDescent="0.2">
      <c r="A228" s="3" t="s">
        <v>85</v>
      </c>
      <c r="B228" s="4" t="s">
        <v>95</v>
      </c>
      <c r="C228" s="3" t="s">
        <v>83</v>
      </c>
    </row>
    <row r="229" spans="1:3" x14ac:dyDescent="0.2">
      <c r="A229" s="3" t="s">
        <v>85</v>
      </c>
      <c r="B229" s="4" t="s">
        <v>96</v>
      </c>
      <c r="C229" s="3" t="s">
        <v>83</v>
      </c>
    </row>
    <row r="230" spans="1:3" x14ac:dyDescent="0.2">
      <c r="A230" s="3" t="s">
        <v>259</v>
      </c>
      <c r="B230" s="1" t="s">
        <v>260</v>
      </c>
      <c r="C230" s="3" t="s">
        <v>256</v>
      </c>
    </row>
    <row r="231" spans="1:3" x14ac:dyDescent="0.2">
      <c r="A231" s="3" t="s">
        <v>261</v>
      </c>
      <c r="B231" s="1" t="s">
        <v>262</v>
      </c>
      <c r="C231" t="s">
        <v>11</v>
      </c>
    </row>
    <row r="232" spans="1:3" x14ac:dyDescent="0.2">
      <c r="A232" s="3" t="s">
        <v>263</v>
      </c>
      <c r="B232" s="1">
        <v>73</v>
      </c>
      <c r="C232" s="3" t="s">
        <v>264</v>
      </c>
    </row>
    <row r="233" spans="1:3" x14ac:dyDescent="0.2">
      <c r="A233" s="3" t="s">
        <v>263</v>
      </c>
      <c r="B233" s="1">
        <v>74</v>
      </c>
      <c r="C233" s="3" t="s">
        <v>264</v>
      </c>
    </row>
    <row r="234" spans="1:3" x14ac:dyDescent="0.2">
      <c r="A234" s="3" t="s">
        <v>263</v>
      </c>
      <c r="B234" s="1">
        <v>77</v>
      </c>
      <c r="C234" s="3" t="s">
        <v>264</v>
      </c>
    </row>
    <row r="235" spans="1:3" x14ac:dyDescent="0.2">
      <c r="A235" t="s">
        <v>592</v>
      </c>
      <c r="B235" s="1" t="s">
        <v>593</v>
      </c>
      <c r="C235" s="3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4C12-C746-6E46-B6F5-6901B15D4977}">
  <sheetPr codeName="Sheet3"/>
  <dimension ref="A1:E86"/>
  <sheetViews>
    <sheetView topLeftCell="A35" zoomScale="137" workbookViewId="0">
      <selection activeCell="C49" sqref="C49"/>
    </sheetView>
  </sheetViews>
  <sheetFormatPr baseColWidth="10" defaultRowHeight="16" x14ac:dyDescent="0.2"/>
  <cols>
    <col min="1" max="1" width="23.1640625" bestFit="1" customWidth="1"/>
    <col min="2" max="2" width="29" hidden="1" customWidth="1"/>
    <col min="3" max="3" width="29.6640625" bestFit="1" customWidth="1"/>
    <col min="4" max="4" width="35.5" bestFit="1" customWidth="1"/>
  </cols>
  <sheetData>
    <row r="1" spans="1:5" x14ac:dyDescent="0.2">
      <c r="A1" t="s">
        <v>249</v>
      </c>
      <c r="C1" t="s">
        <v>250</v>
      </c>
      <c r="D1" t="s">
        <v>15</v>
      </c>
    </row>
    <row r="2" spans="1:5" x14ac:dyDescent="0.2">
      <c r="A2" s="5" t="s">
        <v>99</v>
      </c>
      <c r="B2" t="s">
        <v>265</v>
      </c>
      <c r="C2" t="s">
        <v>100</v>
      </c>
      <c r="D2" t="s">
        <v>101</v>
      </c>
      <c r="E2" t="s">
        <v>251</v>
      </c>
    </row>
    <row r="3" spans="1:5" x14ac:dyDescent="0.2">
      <c r="A3" s="5" t="s">
        <v>102</v>
      </c>
      <c r="B3" t="s">
        <v>265</v>
      </c>
      <c r="C3" s="3" t="s">
        <v>103</v>
      </c>
      <c r="D3" t="s">
        <v>27</v>
      </c>
      <c r="E3" t="s">
        <v>253</v>
      </c>
    </row>
    <row r="4" spans="1:5" x14ac:dyDescent="0.2">
      <c r="A4" s="5" t="s">
        <v>104</v>
      </c>
      <c r="B4" t="s">
        <v>265</v>
      </c>
      <c r="C4" t="s">
        <v>105</v>
      </c>
      <c r="D4" t="s">
        <v>106</v>
      </c>
      <c r="E4" t="s">
        <v>251</v>
      </c>
    </row>
    <row r="5" spans="1:5" x14ac:dyDescent="0.2">
      <c r="A5" s="5" t="s">
        <v>107</v>
      </c>
      <c r="B5" t="s">
        <v>265</v>
      </c>
      <c r="C5" s="107" t="s">
        <v>108</v>
      </c>
      <c r="D5" s="107" t="s">
        <v>109</v>
      </c>
      <c r="E5" t="s">
        <v>580</v>
      </c>
    </row>
    <row r="6" spans="1:5" x14ac:dyDescent="0.2">
      <c r="A6" s="5" t="s">
        <v>110</v>
      </c>
      <c r="B6" t="s">
        <v>265</v>
      </c>
      <c r="C6" t="s">
        <v>111</v>
      </c>
      <c r="D6" t="s">
        <v>294</v>
      </c>
      <c r="E6" t="s">
        <v>251</v>
      </c>
    </row>
    <row r="7" spans="1:5" x14ac:dyDescent="0.2">
      <c r="A7" s="5" t="s">
        <v>112</v>
      </c>
      <c r="B7" t="s">
        <v>265</v>
      </c>
      <c r="C7" t="s">
        <v>113</v>
      </c>
      <c r="D7" t="s">
        <v>334</v>
      </c>
      <c r="E7" t="s">
        <v>575</v>
      </c>
    </row>
    <row r="8" spans="1:5" x14ac:dyDescent="0.2">
      <c r="A8" s="5" t="s">
        <v>136</v>
      </c>
      <c r="B8" t="s">
        <v>265</v>
      </c>
      <c r="C8" t="s">
        <v>137</v>
      </c>
      <c r="D8" t="s">
        <v>106</v>
      </c>
      <c r="E8" t="s">
        <v>251</v>
      </c>
    </row>
    <row r="9" spans="1:5" x14ac:dyDescent="0.2">
      <c r="A9" s="5" t="s">
        <v>114</v>
      </c>
      <c r="B9" t="s">
        <v>265</v>
      </c>
      <c r="C9" t="s">
        <v>115</v>
      </c>
      <c r="D9" t="s">
        <v>106</v>
      </c>
      <c r="E9" t="s">
        <v>251</v>
      </c>
    </row>
    <row r="10" spans="1:5" x14ac:dyDescent="0.2">
      <c r="A10" s="5" t="s">
        <v>116</v>
      </c>
      <c r="B10" t="s">
        <v>265</v>
      </c>
      <c r="C10" t="s">
        <v>117</v>
      </c>
      <c r="D10" t="s">
        <v>118</v>
      </c>
      <c r="E10" t="s">
        <v>251</v>
      </c>
    </row>
    <row r="11" spans="1:5" x14ac:dyDescent="0.2">
      <c r="A11" s="5" t="s">
        <v>121</v>
      </c>
      <c r="B11" t="s">
        <v>265</v>
      </c>
      <c r="C11" t="s">
        <v>122</v>
      </c>
      <c r="D11" t="s">
        <v>101</v>
      </c>
      <c r="E11" t="s">
        <v>251</v>
      </c>
    </row>
    <row r="12" spans="1:5" x14ac:dyDescent="0.2">
      <c r="A12" s="5" t="s">
        <v>119</v>
      </c>
      <c r="B12" t="s">
        <v>265</v>
      </c>
      <c r="C12" t="s">
        <v>120</v>
      </c>
      <c r="D12" t="s">
        <v>101</v>
      </c>
      <c r="E12" t="s">
        <v>251</v>
      </c>
    </row>
    <row r="13" spans="1:5" x14ac:dyDescent="0.2">
      <c r="A13" s="5" t="s">
        <v>266</v>
      </c>
      <c r="B13">
        <v>1</v>
      </c>
      <c r="C13" s="3" t="s">
        <v>267</v>
      </c>
      <c r="D13" t="s">
        <v>287</v>
      </c>
      <c r="E13" t="s">
        <v>251</v>
      </c>
    </row>
    <row r="14" spans="1:5" x14ac:dyDescent="0.2">
      <c r="A14" s="5" t="s">
        <v>123</v>
      </c>
      <c r="B14" t="s">
        <v>265</v>
      </c>
      <c r="C14" s="3" t="s">
        <v>124</v>
      </c>
      <c r="D14" t="s">
        <v>125</v>
      </c>
      <c r="E14" t="s">
        <v>251</v>
      </c>
    </row>
    <row r="15" spans="1:5" x14ac:dyDescent="0.2">
      <c r="A15" s="5" t="s">
        <v>126</v>
      </c>
      <c r="B15" t="s">
        <v>265</v>
      </c>
      <c r="C15" t="s">
        <v>127</v>
      </c>
      <c r="D15" t="s">
        <v>254</v>
      </c>
      <c r="E15" t="s">
        <v>251</v>
      </c>
    </row>
    <row r="16" spans="1:5" x14ac:dyDescent="0.2">
      <c r="A16" s="5" t="s">
        <v>128</v>
      </c>
      <c r="B16" t="s">
        <v>265</v>
      </c>
      <c r="C16" s="3" t="s">
        <v>129</v>
      </c>
      <c r="D16" t="s">
        <v>254</v>
      </c>
      <c r="E16" t="s">
        <v>251</v>
      </c>
    </row>
    <row r="17" spans="1:5" x14ac:dyDescent="0.2">
      <c r="A17" s="5" t="s">
        <v>144</v>
      </c>
      <c r="B17" t="s">
        <v>265</v>
      </c>
      <c r="C17" t="s">
        <v>145</v>
      </c>
      <c r="D17" t="s">
        <v>285</v>
      </c>
      <c r="E17" t="s">
        <v>251</v>
      </c>
    </row>
    <row r="18" spans="1:5" x14ac:dyDescent="0.2">
      <c r="A18" s="5" t="s">
        <v>248</v>
      </c>
      <c r="B18" t="s">
        <v>265</v>
      </c>
      <c r="C18" t="s">
        <v>146</v>
      </c>
      <c r="D18" t="s">
        <v>34</v>
      </c>
      <c r="E18" t="s">
        <v>251</v>
      </c>
    </row>
    <row r="19" spans="1:5" x14ac:dyDescent="0.2">
      <c r="A19" s="5" t="s">
        <v>147</v>
      </c>
      <c r="B19" t="s">
        <v>265</v>
      </c>
      <c r="C19" t="s">
        <v>148</v>
      </c>
      <c r="D19" t="s">
        <v>34</v>
      </c>
      <c r="E19" t="s">
        <v>251</v>
      </c>
    </row>
    <row r="20" spans="1:5" x14ac:dyDescent="0.2">
      <c r="A20" s="5" t="s">
        <v>149</v>
      </c>
      <c r="B20" t="s">
        <v>265</v>
      </c>
      <c r="C20" t="s">
        <v>150</v>
      </c>
      <c r="D20" t="s">
        <v>32</v>
      </c>
      <c r="E20" t="s">
        <v>251</v>
      </c>
    </row>
    <row r="21" spans="1:5" x14ac:dyDescent="0.2">
      <c r="A21" s="5" t="s">
        <v>151</v>
      </c>
      <c r="B21" t="s">
        <v>265</v>
      </c>
      <c r="C21" t="s">
        <v>152</v>
      </c>
      <c r="D21" t="s">
        <v>24</v>
      </c>
      <c r="E21" t="s">
        <v>251</v>
      </c>
    </row>
    <row r="22" spans="1:5" x14ac:dyDescent="0.2">
      <c r="A22" s="5" t="s">
        <v>153</v>
      </c>
      <c r="B22" t="s">
        <v>265</v>
      </c>
      <c r="C22" t="s">
        <v>154</v>
      </c>
      <c r="D22" t="s">
        <v>168</v>
      </c>
      <c r="E22" t="s">
        <v>251</v>
      </c>
    </row>
    <row r="23" spans="1:5" x14ac:dyDescent="0.2">
      <c r="A23" s="5" t="s">
        <v>155</v>
      </c>
      <c r="B23" t="s">
        <v>265</v>
      </c>
      <c r="C23" t="s">
        <v>156</v>
      </c>
      <c r="D23" t="s">
        <v>258</v>
      </c>
      <c r="E23" t="s">
        <v>251</v>
      </c>
    </row>
    <row r="24" spans="1:5" x14ac:dyDescent="0.2">
      <c r="A24" s="5" t="s">
        <v>157</v>
      </c>
      <c r="B24" t="s">
        <v>265</v>
      </c>
      <c r="C24" t="s">
        <v>158</v>
      </c>
      <c r="D24" t="s">
        <v>159</v>
      </c>
      <c r="E24" t="s">
        <v>251</v>
      </c>
    </row>
    <row r="25" spans="1:5" x14ac:dyDescent="0.2">
      <c r="A25" s="5" t="s">
        <v>268</v>
      </c>
      <c r="B25" t="s">
        <v>269</v>
      </c>
      <c r="C25" t="s">
        <v>270</v>
      </c>
      <c r="D25" t="s">
        <v>106</v>
      </c>
      <c r="E25" t="s">
        <v>251</v>
      </c>
    </row>
    <row r="26" spans="1:5" x14ac:dyDescent="0.2">
      <c r="A26" s="5" t="s">
        <v>160</v>
      </c>
      <c r="B26" t="s">
        <v>265</v>
      </c>
      <c r="C26" t="s">
        <v>161</v>
      </c>
      <c r="D26" t="s">
        <v>55</v>
      </c>
      <c r="E26" t="s">
        <v>288</v>
      </c>
    </row>
    <row r="27" spans="1:5" x14ac:dyDescent="0.2">
      <c r="A27" s="5" t="s">
        <v>162</v>
      </c>
      <c r="B27" t="s">
        <v>265</v>
      </c>
      <c r="C27" t="s">
        <v>163</v>
      </c>
      <c r="D27" s="3" t="s">
        <v>22</v>
      </c>
      <c r="E27" t="s">
        <v>251</v>
      </c>
    </row>
    <row r="28" spans="1:5" x14ac:dyDescent="0.2">
      <c r="A28" s="5" t="s">
        <v>171</v>
      </c>
      <c r="B28" t="s">
        <v>265</v>
      </c>
      <c r="C28" t="s">
        <v>172</v>
      </c>
      <c r="D28" t="s">
        <v>258</v>
      </c>
      <c r="E28" t="s">
        <v>251</v>
      </c>
    </row>
    <row r="29" spans="1:5" x14ac:dyDescent="0.2">
      <c r="A29" s="5" t="s">
        <v>176</v>
      </c>
      <c r="B29" t="s">
        <v>265</v>
      </c>
      <c r="C29" t="s">
        <v>177</v>
      </c>
      <c r="D29" t="s">
        <v>118</v>
      </c>
      <c r="E29" t="s">
        <v>251</v>
      </c>
    </row>
    <row r="30" spans="1:5" x14ac:dyDescent="0.2">
      <c r="A30" s="5" t="s">
        <v>173</v>
      </c>
      <c r="B30" t="s">
        <v>265</v>
      </c>
      <c r="C30" t="s">
        <v>174</v>
      </c>
      <c r="D30" t="s">
        <v>175</v>
      </c>
      <c r="E30" t="s">
        <v>251</v>
      </c>
    </row>
    <row r="31" spans="1:5" x14ac:dyDescent="0.2">
      <c r="A31" s="5" t="s">
        <v>178</v>
      </c>
      <c r="B31" t="s">
        <v>265</v>
      </c>
      <c r="C31" t="s">
        <v>179</v>
      </c>
      <c r="D31" t="s">
        <v>168</v>
      </c>
      <c r="E31" t="s">
        <v>251</v>
      </c>
    </row>
    <row r="32" spans="1:5" x14ac:dyDescent="0.2">
      <c r="A32" s="5" t="s">
        <v>182</v>
      </c>
      <c r="B32" t="s">
        <v>265</v>
      </c>
      <c r="C32" t="s">
        <v>183</v>
      </c>
      <c r="D32" t="s">
        <v>181</v>
      </c>
      <c r="E32" t="s">
        <v>251</v>
      </c>
    </row>
    <row r="33" spans="1:5" x14ac:dyDescent="0.2">
      <c r="A33" s="5" t="s">
        <v>180</v>
      </c>
      <c r="B33" t="s">
        <v>265</v>
      </c>
      <c r="C33" t="s">
        <v>595</v>
      </c>
      <c r="D33" t="s">
        <v>181</v>
      </c>
      <c r="E33" t="s">
        <v>251</v>
      </c>
    </row>
    <row r="34" spans="1:5" x14ac:dyDescent="0.2">
      <c r="A34" s="5" t="s">
        <v>187</v>
      </c>
      <c r="B34" t="s">
        <v>265</v>
      </c>
      <c r="C34" t="s">
        <v>188</v>
      </c>
      <c r="D34" t="s">
        <v>109</v>
      </c>
      <c r="E34" t="s">
        <v>251</v>
      </c>
    </row>
    <row r="35" spans="1:5" x14ac:dyDescent="0.2">
      <c r="A35" s="5" t="s">
        <v>204</v>
      </c>
      <c r="B35" t="s">
        <v>265</v>
      </c>
      <c r="C35" t="s">
        <v>205</v>
      </c>
      <c r="D35" s="108" t="s">
        <v>109</v>
      </c>
      <c r="E35" t="s">
        <v>251</v>
      </c>
    </row>
    <row r="36" spans="1:5" x14ac:dyDescent="0.2">
      <c r="A36" s="5" t="s">
        <v>189</v>
      </c>
      <c r="B36" t="s">
        <v>265</v>
      </c>
      <c r="C36" t="s">
        <v>190</v>
      </c>
      <c r="D36" t="s">
        <v>258</v>
      </c>
      <c r="E36" t="s">
        <v>251</v>
      </c>
    </row>
    <row r="37" spans="1:5" x14ac:dyDescent="0.2">
      <c r="A37" s="5" t="s">
        <v>201</v>
      </c>
      <c r="B37" t="s">
        <v>265</v>
      </c>
      <c r="C37" t="s">
        <v>202</v>
      </c>
      <c r="D37" t="s">
        <v>203</v>
      </c>
      <c r="E37" t="s">
        <v>251</v>
      </c>
    </row>
    <row r="38" spans="1:5" x14ac:dyDescent="0.2">
      <c r="A38" s="5" t="s">
        <v>191</v>
      </c>
      <c r="B38" t="s">
        <v>265</v>
      </c>
      <c r="C38" t="s">
        <v>192</v>
      </c>
      <c r="D38" t="s">
        <v>256</v>
      </c>
      <c r="E38" t="s">
        <v>251</v>
      </c>
    </row>
    <row r="39" spans="1:5" x14ac:dyDescent="0.2">
      <c r="A39" s="5" t="s">
        <v>193</v>
      </c>
      <c r="B39" t="s">
        <v>265</v>
      </c>
      <c r="C39" t="s">
        <v>194</v>
      </c>
      <c r="D39" t="s">
        <v>109</v>
      </c>
      <c r="E39" t="s">
        <v>251</v>
      </c>
    </row>
    <row r="40" spans="1:5" x14ac:dyDescent="0.2">
      <c r="A40" s="5" t="s">
        <v>197</v>
      </c>
      <c r="B40" t="s">
        <v>265</v>
      </c>
      <c r="C40" t="s">
        <v>198</v>
      </c>
      <c r="D40" t="s">
        <v>582</v>
      </c>
      <c r="E40" t="s">
        <v>581</v>
      </c>
    </row>
    <row r="41" spans="1:5" x14ac:dyDescent="0.2">
      <c r="A41" s="5" t="s">
        <v>199</v>
      </c>
      <c r="B41" t="s">
        <v>265</v>
      </c>
      <c r="C41" t="s">
        <v>200</v>
      </c>
      <c r="D41" t="s">
        <v>258</v>
      </c>
      <c r="E41" t="s">
        <v>251</v>
      </c>
    </row>
    <row r="42" spans="1:5" x14ac:dyDescent="0.2">
      <c r="A42" s="5" t="s">
        <v>206</v>
      </c>
      <c r="B42" t="s">
        <v>265</v>
      </c>
      <c r="C42" t="s">
        <v>207</v>
      </c>
      <c r="D42" t="s">
        <v>258</v>
      </c>
      <c r="E42" t="s">
        <v>251</v>
      </c>
    </row>
    <row r="43" spans="1:5" x14ac:dyDescent="0.2">
      <c r="A43" s="5" t="s">
        <v>208</v>
      </c>
      <c r="B43" t="s">
        <v>265</v>
      </c>
      <c r="C43" t="s">
        <v>209</v>
      </c>
      <c r="D43" t="s">
        <v>258</v>
      </c>
      <c r="E43" t="s">
        <v>251</v>
      </c>
    </row>
    <row r="44" spans="1:5" x14ac:dyDescent="0.2">
      <c r="A44" s="5" t="s">
        <v>210</v>
      </c>
      <c r="B44" t="s">
        <v>265</v>
      </c>
      <c r="C44" t="s">
        <v>211</v>
      </c>
      <c r="D44" t="s">
        <v>34</v>
      </c>
      <c r="E44" t="s">
        <v>251</v>
      </c>
    </row>
    <row r="45" spans="1:5" x14ac:dyDescent="0.2">
      <c r="A45" s="5" t="s">
        <v>222</v>
      </c>
      <c r="B45" t="s">
        <v>265</v>
      </c>
      <c r="C45" t="s">
        <v>223</v>
      </c>
      <c r="D45" t="s">
        <v>224</v>
      </c>
      <c r="E45" t="s">
        <v>251</v>
      </c>
    </row>
    <row r="46" spans="1:5" x14ac:dyDescent="0.2">
      <c r="A46" s="5" t="s">
        <v>212</v>
      </c>
      <c r="B46" t="s">
        <v>265</v>
      </c>
      <c r="C46" t="s">
        <v>213</v>
      </c>
      <c r="D46" t="s">
        <v>32</v>
      </c>
      <c r="E46" t="s">
        <v>251</v>
      </c>
    </row>
    <row r="47" spans="1:5" x14ac:dyDescent="0.2">
      <c r="A47" s="5" t="s">
        <v>214</v>
      </c>
      <c r="B47" t="s">
        <v>265</v>
      </c>
      <c r="C47" t="s">
        <v>215</v>
      </c>
      <c r="D47" t="s">
        <v>106</v>
      </c>
    </row>
    <row r="48" spans="1:5" x14ac:dyDescent="0.2">
      <c r="A48" s="5" t="s">
        <v>271</v>
      </c>
      <c r="B48" t="s">
        <v>272</v>
      </c>
      <c r="C48" s="3" t="s">
        <v>604</v>
      </c>
      <c r="D48" t="s">
        <v>101</v>
      </c>
      <c r="E48" t="s">
        <v>251</v>
      </c>
    </row>
    <row r="49" spans="1:5" x14ac:dyDescent="0.2">
      <c r="A49" s="5" t="s">
        <v>218</v>
      </c>
      <c r="B49" t="s">
        <v>265</v>
      </c>
      <c r="C49" t="s">
        <v>219</v>
      </c>
      <c r="D49" t="s">
        <v>168</v>
      </c>
      <c r="E49" t="s">
        <v>251</v>
      </c>
    </row>
    <row r="50" spans="1:5" x14ac:dyDescent="0.2">
      <c r="A50" s="5" t="s">
        <v>220</v>
      </c>
      <c r="B50" t="s">
        <v>265</v>
      </c>
      <c r="C50" t="s">
        <v>221</v>
      </c>
      <c r="D50" t="s">
        <v>181</v>
      </c>
      <c r="E50" t="s">
        <v>251</v>
      </c>
    </row>
    <row r="51" spans="1:5" x14ac:dyDescent="0.2">
      <c r="A51" s="5" t="s">
        <v>225</v>
      </c>
      <c r="B51" t="s">
        <v>265</v>
      </c>
      <c r="C51" t="s">
        <v>226</v>
      </c>
      <c r="D51" t="s">
        <v>181</v>
      </c>
      <c r="E51" t="s">
        <v>251</v>
      </c>
    </row>
    <row r="52" spans="1:5" x14ac:dyDescent="0.2">
      <c r="A52" s="5" t="s">
        <v>227</v>
      </c>
      <c r="B52" t="s">
        <v>265</v>
      </c>
      <c r="C52" t="s">
        <v>228</v>
      </c>
      <c r="D52" t="s">
        <v>42</v>
      </c>
      <c r="E52" t="s">
        <v>576</v>
      </c>
    </row>
    <row r="53" spans="1:5" x14ac:dyDescent="0.2">
      <c r="A53" s="5" t="s">
        <v>229</v>
      </c>
      <c r="B53" t="s">
        <v>265</v>
      </c>
      <c r="C53" t="s">
        <v>596</v>
      </c>
      <c r="D53" t="s">
        <v>258</v>
      </c>
      <c r="E53" t="s">
        <v>251</v>
      </c>
    </row>
    <row r="54" spans="1:5" x14ac:dyDescent="0.2">
      <c r="A54" s="5" t="s">
        <v>231</v>
      </c>
      <c r="B54" t="s">
        <v>265</v>
      </c>
      <c r="C54" t="s">
        <v>232</v>
      </c>
      <c r="D54" t="s">
        <v>32</v>
      </c>
      <c r="E54" t="s">
        <v>251</v>
      </c>
    </row>
    <row r="55" spans="1:5" x14ac:dyDescent="0.2">
      <c r="A55" s="5" t="s">
        <v>230</v>
      </c>
      <c r="B55" t="s">
        <v>265</v>
      </c>
      <c r="C55" t="s">
        <v>597</v>
      </c>
      <c r="D55" t="s">
        <v>258</v>
      </c>
      <c r="E55" t="s">
        <v>251</v>
      </c>
    </row>
    <row r="56" spans="1:5" x14ac:dyDescent="0.2">
      <c r="A56" s="5" t="s">
        <v>236</v>
      </c>
      <c r="B56" t="s">
        <v>265</v>
      </c>
      <c r="C56" t="s">
        <v>237</v>
      </c>
      <c r="D56" t="s">
        <v>203</v>
      </c>
    </row>
    <row r="57" spans="1:5" x14ac:dyDescent="0.2">
      <c r="A57" s="5" t="s">
        <v>233</v>
      </c>
      <c r="B57" t="s">
        <v>265</v>
      </c>
      <c r="C57" t="s">
        <v>234</v>
      </c>
      <c r="D57" t="s">
        <v>235</v>
      </c>
      <c r="E57" t="s">
        <v>251</v>
      </c>
    </row>
    <row r="58" spans="1:5" x14ac:dyDescent="0.2">
      <c r="A58" s="5" t="s">
        <v>239</v>
      </c>
      <c r="B58" t="s">
        <v>265</v>
      </c>
      <c r="C58" t="s">
        <v>240</v>
      </c>
      <c r="D58" t="s">
        <v>29</v>
      </c>
      <c r="E58" t="s">
        <v>251</v>
      </c>
    </row>
    <row r="59" spans="1:5" x14ac:dyDescent="0.2">
      <c r="A59" s="5" t="s">
        <v>245</v>
      </c>
      <c r="B59" t="s">
        <v>265</v>
      </c>
      <c r="C59" t="s">
        <v>246</v>
      </c>
      <c r="D59" t="s">
        <v>76</v>
      </c>
      <c r="E59" t="s">
        <v>251</v>
      </c>
    </row>
    <row r="60" spans="1:5" x14ac:dyDescent="0.2">
      <c r="A60" s="5" t="s">
        <v>241</v>
      </c>
      <c r="B60" t="s">
        <v>265</v>
      </c>
      <c r="C60" t="s">
        <v>242</v>
      </c>
      <c r="D60" t="s">
        <v>589</v>
      </c>
      <c r="E60" t="s">
        <v>590</v>
      </c>
    </row>
    <row r="61" spans="1:5" x14ac:dyDescent="0.2">
      <c r="A61" s="5" t="s">
        <v>243</v>
      </c>
      <c r="B61" t="s">
        <v>265</v>
      </c>
      <c r="C61" t="s">
        <v>244</v>
      </c>
      <c r="D61" t="s">
        <v>258</v>
      </c>
      <c r="E61" t="s">
        <v>251</v>
      </c>
    </row>
    <row r="62" spans="1:5" x14ac:dyDescent="0.2">
      <c r="A62" s="5" t="s">
        <v>247</v>
      </c>
      <c r="B62" t="s">
        <v>265</v>
      </c>
      <c r="C62" t="s">
        <v>292</v>
      </c>
      <c r="D62" t="s">
        <v>291</v>
      </c>
      <c r="E62" t="s">
        <v>251</v>
      </c>
    </row>
    <row r="63" spans="1:5" x14ac:dyDescent="0.2">
      <c r="A63" s="5" t="s">
        <v>130</v>
      </c>
      <c r="B63" t="s">
        <v>265</v>
      </c>
      <c r="C63" t="s">
        <v>273</v>
      </c>
      <c r="D63" t="s">
        <v>255</v>
      </c>
      <c r="E63" t="s">
        <v>251</v>
      </c>
    </row>
    <row r="64" spans="1:5" x14ac:dyDescent="0.2">
      <c r="A64" s="5" t="s">
        <v>131</v>
      </c>
      <c r="B64" t="s">
        <v>265</v>
      </c>
      <c r="C64" t="s">
        <v>132</v>
      </c>
      <c r="D64" t="s">
        <v>76</v>
      </c>
      <c r="E64" t="s">
        <v>251</v>
      </c>
    </row>
    <row r="65" spans="1:5" x14ac:dyDescent="0.2">
      <c r="A65" s="5" t="s">
        <v>274</v>
      </c>
      <c r="B65" t="s">
        <v>275</v>
      </c>
      <c r="C65" t="s">
        <v>276</v>
      </c>
      <c r="D65" t="s">
        <v>258</v>
      </c>
      <c r="E65" t="s">
        <v>251</v>
      </c>
    </row>
    <row r="66" spans="1:5" x14ac:dyDescent="0.2">
      <c r="A66" s="5" t="s">
        <v>133</v>
      </c>
      <c r="B66" t="s">
        <v>265</v>
      </c>
      <c r="C66" t="s">
        <v>598</v>
      </c>
      <c r="D66" t="s">
        <v>294</v>
      </c>
      <c r="E66" t="s">
        <v>251</v>
      </c>
    </row>
    <row r="67" spans="1:5" x14ac:dyDescent="0.2">
      <c r="A67" s="5" t="s">
        <v>599</v>
      </c>
      <c r="B67" t="s">
        <v>265</v>
      </c>
      <c r="C67" t="s">
        <v>600</v>
      </c>
      <c r="D67" t="s">
        <v>294</v>
      </c>
      <c r="E67" t="s">
        <v>251</v>
      </c>
    </row>
    <row r="68" spans="1:5" x14ac:dyDescent="0.2">
      <c r="A68" s="5" t="s">
        <v>277</v>
      </c>
      <c r="B68">
        <v>7</v>
      </c>
      <c r="C68" t="s">
        <v>278</v>
      </c>
      <c r="D68" t="s">
        <v>83</v>
      </c>
      <c r="E68" t="s">
        <v>251</v>
      </c>
    </row>
    <row r="69" spans="1:5" x14ac:dyDescent="0.2">
      <c r="A69" s="5" t="s">
        <v>134</v>
      </c>
      <c r="B69" t="s">
        <v>265</v>
      </c>
      <c r="C69" t="s">
        <v>257</v>
      </c>
      <c r="D69" t="s">
        <v>101</v>
      </c>
      <c r="E69" t="s">
        <v>251</v>
      </c>
    </row>
    <row r="70" spans="1:5" x14ac:dyDescent="0.2">
      <c r="A70" s="5" t="s">
        <v>135</v>
      </c>
      <c r="B70" t="s">
        <v>265</v>
      </c>
      <c r="C70" t="s">
        <v>279</v>
      </c>
      <c r="D70" t="s">
        <v>106</v>
      </c>
      <c r="E70" t="s">
        <v>251</v>
      </c>
    </row>
    <row r="71" spans="1:5" x14ac:dyDescent="0.2">
      <c r="A71" s="5" t="s">
        <v>138</v>
      </c>
      <c r="B71" t="s">
        <v>265</v>
      </c>
      <c r="C71" t="s">
        <v>252</v>
      </c>
      <c r="D71" t="s">
        <v>101</v>
      </c>
      <c r="E71" t="s">
        <v>251</v>
      </c>
    </row>
    <row r="72" spans="1:5" x14ac:dyDescent="0.2">
      <c r="A72" s="5" t="s">
        <v>280</v>
      </c>
      <c r="B72" t="s">
        <v>281</v>
      </c>
      <c r="C72" t="s">
        <v>602</v>
      </c>
      <c r="D72" t="s">
        <v>101</v>
      </c>
      <c r="E72" t="s">
        <v>251</v>
      </c>
    </row>
    <row r="73" spans="1:5" x14ac:dyDescent="0.2">
      <c r="A73" s="5" t="s">
        <v>282</v>
      </c>
      <c r="B73" t="s">
        <v>283</v>
      </c>
      <c r="C73" t="s">
        <v>603</v>
      </c>
      <c r="D73" t="s">
        <v>101</v>
      </c>
      <c r="E73" t="s">
        <v>251</v>
      </c>
    </row>
    <row r="74" spans="1:5" x14ac:dyDescent="0.2">
      <c r="A74" s="5" t="s">
        <v>139</v>
      </c>
      <c r="B74" t="s">
        <v>265</v>
      </c>
      <c r="C74" t="s">
        <v>140</v>
      </c>
      <c r="D74" t="s">
        <v>125</v>
      </c>
      <c r="E74" t="s">
        <v>251</v>
      </c>
    </row>
    <row r="75" spans="1:5" x14ac:dyDescent="0.2">
      <c r="A75" s="5" t="s">
        <v>141</v>
      </c>
      <c r="B75" t="s">
        <v>265</v>
      </c>
      <c r="C75" t="s">
        <v>142</v>
      </c>
      <c r="D75" t="s">
        <v>34</v>
      </c>
      <c r="E75" t="s">
        <v>251</v>
      </c>
    </row>
    <row r="76" spans="1:5" x14ac:dyDescent="0.2">
      <c r="A76" s="5" t="s">
        <v>143</v>
      </c>
      <c r="B76" t="s">
        <v>265</v>
      </c>
      <c r="C76" t="s">
        <v>284</v>
      </c>
      <c r="D76" t="s">
        <v>83</v>
      </c>
      <c r="E76" t="s">
        <v>251</v>
      </c>
    </row>
    <row r="77" spans="1:5" x14ac:dyDescent="0.2">
      <c r="A77" s="5" t="s">
        <v>164</v>
      </c>
      <c r="B77" t="s">
        <v>265</v>
      </c>
      <c r="C77" t="s">
        <v>165</v>
      </c>
      <c r="D77" t="s">
        <v>101</v>
      </c>
      <c r="E77" t="s">
        <v>251</v>
      </c>
    </row>
    <row r="78" spans="1:5" x14ac:dyDescent="0.2">
      <c r="A78" s="5" t="s">
        <v>166</v>
      </c>
      <c r="B78" t="s">
        <v>265</v>
      </c>
      <c r="C78" t="s">
        <v>167</v>
      </c>
      <c r="D78" t="s">
        <v>168</v>
      </c>
      <c r="E78" t="s">
        <v>251</v>
      </c>
    </row>
    <row r="79" spans="1:5" x14ac:dyDescent="0.2">
      <c r="A79" s="5" t="s">
        <v>169</v>
      </c>
      <c r="B79" t="s">
        <v>265</v>
      </c>
      <c r="C79" t="s">
        <v>170</v>
      </c>
      <c r="D79" t="s">
        <v>295</v>
      </c>
      <c r="E79" t="s">
        <v>251</v>
      </c>
    </row>
    <row r="80" spans="1:5" x14ac:dyDescent="0.2">
      <c r="A80" s="5" t="s">
        <v>184</v>
      </c>
      <c r="B80" t="s">
        <v>265</v>
      </c>
      <c r="C80" t="s">
        <v>185</v>
      </c>
      <c r="D80" t="s">
        <v>42</v>
      </c>
      <c r="E80" t="s">
        <v>588</v>
      </c>
    </row>
    <row r="81" spans="1:5" x14ac:dyDescent="0.2">
      <c r="A81" s="5" t="s">
        <v>195</v>
      </c>
      <c r="B81" t="s">
        <v>265</v>
      </c>
      <c r="C81" t="s">
        <v>196</v>
      </c>
      <c r="D81" t="s">
        <v>42</v>
      </c>
      <c r="E81" t="s">
        <v>251</v>
      </c>
    </row>
    <row r="82" spans="1:5" x14ac:dyDescent="0.2">
      <c r="A82" s="5" t="s">
        <v>216</v>
      </c>
      <c r="B82" t="s">
        <v>265</v>
      </c>
      <c r="C82" t="s">
        <v>217</v>
      </c>
      <c r="D82" t="s">
        <v>37</v>
      </c>
      <c r="E82" t="s">
        <v>290</v>
      </c>
    </row>
    <row r="83" spans="1:5" x14ac:dyDescent="0.2">
      <c r="A83" t="s">
        <v>296</v>
      </c>
      <c r="C83" t="s">
        <v>297</v>
      </c>
      <c r="D83" t="s">
        <v>258</v>
      </c>
      <c r="E83" t="s">
        <v>251</v>
      </c>
    </row>
    <row r="84" spans="1:5" x14ac:dyDescent="0.2">
      <c r="A84" t="s">
        <v>296</v>
      </c>
      <c r="C84" t="s">
        <v>298</v>
      </c>
      <c r="D84" t="s">
        <v>258</v>
      </c>
      <c r="E84" t="s">
        <v>251</v>
      </c>
    </row>
    <row r="85" spans="1:5" x14ac:dyDescent="0.2">
      <c r="A85" t="s">
        <v>587</v>
      </c>
      <c r="C85" t="s">
        <v>586</v>
      </c>
      <c r="D85" s="3" t="s">
        <v>72</v>
      </c>
      <c r="E85" t="s">
        <v>251</v>
      </c>
    </row>
    <row r="86" spans="1:5" x14ac:dyDescent="0.2">
      <c r="A86" t="s">
        <v>601</v>
      </c>
      <c r="C86" t="s">
        <v>594</v>
      </c>
      <c r="D86" t="s">
        <v>29</v>
      </c>
      <c r="E86" t="s">
        <v>251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B199-F9F4-D64D-9664-1C64BF0C07BD}">
  <sheetPr codeName="Sheet4"/>
  <dimension ref="A1:O72"/>
  <sheetViews>
    <sheetView topLeftCell="A47" zoomScale="86" workbookViewId="0">
      <selection activeCell="B62" sqref="B62"/>
    </sheetView>
  </sheetViews>
  <sheetFormatPr baseColWidth="10" defaultRowHeight="30" x14ac:dyDescent="0.35"/>
  <cols>
    <col min="1" max="1" width="35.5" bestFit="1" customWidth="1"/>
    <col min="2" max="2" width="59.6640625" customWidth="1"/>
    <col min="3" max="3" width="14.1640625" bestFit="1" customWidth="1"/>
    <col min="4" max="4" width="44.33203125" bestFit="1" customWidth="1"/>
    <col min="5" max="5" width="19.33203125" style="8" bestFit="1" customWidth="1"/>
    <col min="6" max="6" width="19.6640625" style="8" bestFit="1" customWidth="1"/>
    <col min="7" max="8" width="12.1640625" style="7" customWidth="1"/>
    <col min="9" max="9" width="12.1640625" style="6" customWidth="1"/>
    <col min="10" max="10" width="13" bestFit="1" customWidth="1"/>
    <col min="11" max="11" width="13.83203125" bestFit="1" customWidth="1"/>
    <col min="13" max="13" width="10.83203125" style="1"/>
  </cols>
  <sheetData>
    <row r="1" spans="1:15" ht="16" x14ac:dyDescent="0.2">
      <c r="A1" s="9" t="s">
        <v>15</v>
      </c>
      <c r="B1" s="9" t="s">
        <v>300</v>
      </c>
      <c r="C1" s="9" t="s">
        <v>301</v>
      </c>
      <c r="D1" s="9" t="s">
        <v>465</v>
      </c>
      <c r="E1" s="10" t="s">
        <v>466</v>
      </c>
      <c r="F1" s="10" t="s">
        <v>467</v>
      </c>
      <c r="G1" s="11" t="s">
        <v>528</v>
      </c>
      <c r="H1" s="11" t="s">
        <v>529</v>
      </c>
      <c r="I1" s="12" t="s">
        <v>531</v>
      </c>
      <c r="J1" s="9" t="s">
        <v>532</v>
      </c>
      <c r="K1" s="9" t="s">
        <v>533</v>
      </c>
      <c r="L1" s="9" t="s">
        <v>531</v>
      </c>
      <c r="M1" s="103" t="s">
        <v>548</v>
      </c>
      <c r="N1" s="9" t="s">
        <v>546</v>
      </c>
      <c r="O1" s="9" cm="1">
        <f t="array" ref="O1">RelLuminance("F9F9F9")</f>
        <v>0.94730653673319976</v>
      </c>
    </row>
    <row r="2" spans="1:15" s="9" customFormat="1" x14ac:dyDescent="0.2">
      <c r="A2" s="9" t="s">
        <v>577</v>
      </c>
      <c r="E2" s="105" t="s">
        <v>579</v>
      </c>
      <c r="F2" s="106" t="s">
        <v>578</v>
      </c>
      <c r="G2" s="11" cm="1">
        <f t="array" ref="G2">RelLuminance(E2)</f>
        <v>0.30861521304351364</v>
      </c>
      <c r="H2" s="11" cm="1">
        <f t="array" ref="H2">MAX((RelLuminance($M2)+0.05),(G2+0.05))/MIN((RelLuminance($M2)+0.05),(G2+0.05))</f>
        <v>5.6938384785164953</v>
      </c>
      <c r="I2" s="12" t="b">
        <f>H2&gt;=4.5</f>
        <v>1</v>
      </c>
      <c r="J2" s="11" cm="1">
        <f t="array" ref="J2">RelLuminance(F2)</f>
        <v>0.24826200734222029</v>
      </c>
      <c r="K2" s="11" cm="1">
        <f t="array" ref="K2">MAX((RelLuminance($M2)+0.05),(J2+0.05))/MIN((RelLuminance($M2)+0.05),(J2+0.05))</f>
        <v>4.7355930041892575</v>
      </c>
      <c r="L2" s="12" t="b">
        <f>K2&gt;=4.5</f>
        <v>1</v>
      </c>
      <c r="M2" s="103" t="str">
        <f>IF(G2&gt;0.25,"1E1E1E","F9F9F9")</f>
        <v>1E1E1E</v>
      </c>
      <c r="N2" s="9" t="s">
        <v>545</v>
      </c>
      <c r="O2" s="9" cm="1">
        <f t="array" ref="O2">RelLuminance("3E3E3E")</f>
        <v>4.8171824226889419E-2</v>
      </c>
    </row>
    <row r="3" spans="1:15" x14ac:dyDescent="0.2">
      <c r="A3" s="13" t="s">
        <v>64</v>
      </c>
      <c r="B3" s="9" t="s">
        <v>344</v>
      </c>
      <c r="C3" s="9" t="s">
        <v>345</v>
      </c>
      <c r="D3" s="9" t="s">
        <v>346</v>
      </c>
      <c r="E3" s="14" t="s">
        <v>468</v>
      </c>
      <c r="F3" s="15" t="s">
        <v>469</v>
      </c>
      <c r="G3" s="11" cm="1">
        <f t="array" ref="G3">RelLuminance(E3)</f>
        <v>6.5655916809382139E-2</v>
      </c>
      <c r="H3" s="11" cm="1">
        <f t="array" ref="H3">MAX((RelLuminance($M3)+0.05),(G3+0.05))/MIN((RelLuminance($M3)+0.05),(G3+0.05))</f>
        <v>8.6230481262528649</v>
      </c>
      <c r="I3" s="12" t="b">
        <f>H3&gt;=4.5</f>
        <v>1</v>
      </c>
      <c r="J3" s="11" cm="1">
        <f t="array" ref="J3">RelLuminance(F3)</f>
        <v>3.0233530414771267E-2</v>
      </c>
      <c r="K3" s="11" cm="1">
        <f t="array" ref="K3">MAX((RelLuminance($M3)+0.05),(J3+0.05))/MIN((RelLuminance($M3)+0.05),(J3+0.05))</f>
        <v>12.430046784400156</v>
      </c>
      <c r="L3" s="12" t="b">
        <f>K3&gt;=4.5</f>
        <v>1</v>
      </c>
      <c r="M3" s="103" t="str">
        <f>IF(G3&gt;0.25,"1E1E1E","F9F9F9")</f>
        <v>F9F9F9</v>
      </c>
    </row>
    <row r="4" spans="1:15" x14ac:dyDescent="0.2">
      <c r="A4" s="13" t="s">
        <v>9</v>
      </c>
      <c r="B4" s="9" t="s">
        <v>350</v>
      </c>
      <c r="C4" s="9" t="s">
        <v>351</v>
      </c>
      <c r="D4" s="9" t="s">
        <v>352</v>
      </c>
      <c r="E4" s="16" t="s">
        <v>470</v>
      </c>
      <c r="F4" s="17" t="s">
        <v>471</v>
      </c>
      <c r="G4" s="11" cm="1">
        <f t="array" ref="G4">RelLuminance(E4)</f>
        <v>0.12067469588344951</v>
      </c>
      <c r="H4" s="11" cm="1">
        <f t="array" ref="H4">MAX((RelLuminance(M4)+0.05),(G4+0.05))/MIN((RelLuminance(M4)+0.05),(G4+0.05))</f>
        <v>5.8433180828061433</v>
      </c>
      <c r="I4" s="12" t="b">
        <f t="shared" ref="I4:I68" si="0">H4&gt;=4.5</f>
        <v>1</v>
      </c>
      <c r="J4" s="11" cm="1">
        <f t="array" ref="J4">RelLuminance(F4)</f>
        <v>4.9975094086858345E-2</v>
      </c>
      <c r="K4" s="11" cm="1">
        <f t="array" ref="K4">MAX((RelLuminance($M4)+0.05),(J4+0.05))/MIN((RelLuminance($M4)+0.05),(J4+0.05))</f>
        <v>9.9755498691178026</v>
      </c>
      <c r="L4" s="12" t="b">
        <f t="shared" ref="L4:L68" si="1">K4&gt;=4.5</f>
        <v>1</v>
      </c>
      <c r="M4" s="103" t="str">
        <f t="shared" ref="M4:M7" si="2">IF(G4&gt;0.25,"1E1E1E","F9F9F9")</f>
        <v>F9F9F9</v>
      </c>
      <c r="N4" s="9"/>
      <c r="O4" s="9"/>
    </row>
    <row r="5" spans="1:15" x14ac:dyDescent="0.2">
      <c r="A5" s="13" t="s">
        <v>258</v>
      </c>
      <c r="B5" s="9" t="s">
        <v>348</v>
      </c>
      <c r="C5" s="9" t="s">
        <v>347</v>
      </c>
      <c r="D5" s="9" t="s">
        <v>349</v>
      </c>
      <c r="E5" s="18" t="s">
        <v>472</v>
      </c>
      <c r="F5" s="19">
        <v>232370</v>
      </c>
      <c r="G5" s="11" cm="1">
        <f t="array" ref="G5">RelLuminance(E5)</f>
        <v>4.518002519349347E-2</v>
      </c>
      <c r="H5" s="11" cm="1">
        <f t="array" ref="H5">MAX((RelLuminance(M5)+0.05),(G5+0.05))/MIN((RelLuminance(M5)+0.05),(G5+0.05))</f>
        <v>10.478107509487987</v>
      </c>
      <c r="I5" s="12" t="b">
        <f t="shared" si="0"/>
        <v>1</v>
      </c>
      <c r="J5" s="11" cm="1">
        <f t="array" ref="J5">RelLuminance(F5)</f>
        <v>2.7292404144672731E-2</v>
      </c>
      <c r="K5" s="11" cm="1">
        <f t="array" ref="K5">MAX((RelLuminance($M5)+0.05),(J5+0.05))/MIN((RelLuminance($M5)+0.05),(J5+0.05))</f>
        <v>12.903034234340579</v>
      </c>
      <c r="L5" s="12" t="b">
        <f t="shared" si="1"/>
        <v>1</v>
      </c>
      <c r="M5" s="103" t="str">
        <f t="shared" si="2"/>
        <v>F9F9F9</v>
      </c>
      <c r="N5" s="9"/>
      <c r="O5" s="9"/>
    </row>
    <row r="6" spans="1:15" x14ac:dyDescent="0.2">
      <c r="A6" s="13" t="s">
        <v>287</v>
      </c>
      <c r="B6" s="9"/>
      <c r="C6" s="9"/>
      <c r="D6" s="9"/>
      <c r="E6" s="20" t="s">
        <v>504</v>
      </c>
      <c r="F6" s="21" t="s">
        <v>505</v>
      </c>
      <c r="G6" s="11" cm="1">
        <f t="array" ref="G6">RelLuminance(E6)</f>
        <v>0.13050971554809826</v>
      </c>
      <c r="H6" s="11" cm="1">
        <f t="array" ref="H6">MAX((RelLuminance(M6)+0.05),(G6+0.05))/MIN((RelLuminance(M6)+0.05),(G6+0.05))</f>
        <v>5.5249465864204943</v>
      </c>
      <c r="I6" s="12" t="b">
        <f t="shared" si="0"/>
        <v>1</v>
      </c>
      <c r="J6" s="11" cm="1">
        <f t="array" ref="J6">RelLuminance(F6)</f>
        <v>7.5532355781620819E-2</v>
      </c>
      <c r="K6" s="11" cm="1">
        <f t="array" ref="K6">MAX((RelLuminance($M6)+0.05),(J6+0.05))/MIN((RelLuminance($M6)+0.05),(J6+0.05))</f>
        <v>7.9446173898635255</v>
      </c>
      <c r="L6" s="12" t="b">
        <f t="shared" si="1"/>
        <v>1</v>
      </c>
      <c r="M6" s="103" t="str">
        <f t="shared" si="2"/>
        <v>F9F9F9</v>
      </c>
      <c r="N6" s="9"/>
      <c r="O6" s="9"/>
    </row>
    <row r="7" spans="1:15" x14ac:dyDescent="0.2">
      <c r="A7" s="13" t="s">
        <v>238</v>
      </c>
      <c r="B7" s="9" t="s">
        <v>567</v>
      </c>
      <c r="C7" s="9" t="s">
        <v>568</v>
      </c>
      <c r="D7" s="9" t="s">
        <v>569</v>
      </c>
      <c r="E7" s="101" t="s">
        <v>570</v>
      </c>
      <c r="F7" s="102" t="s">
        <v>571</v>
      </c>
      <c r="G7" s="11" cm="1">
        <f t="array" ref="G7">RelLuminance(E7)</f>
        <v>0.53389777609043276</v>
      </c>
      <c r="H7" s="11" cm="1">
        <f t="array" ref="H7">MAX((RelLuminance(M7)+0.05),(G7+0.05))/MIN((RelLuminance(M7)+0.05),(G7+0.05))</f>
        <v>9.2707155304661111</v>
      </c>
      <c r="I7" s="12" t="b">
        <f t="shared" si="0"/>
        <v>1</v>
      </c>
      <c r="J7" s="11" cm="1">
        <f t="array" ref="J7">RelLuminance(F7)</f>
        <v>0.41333923775510384</v>
      </c>
      <c r="K7" s="11" cm="1">
        <f t="array" ref="K7">MAX((RelLuminance($M7)+0.05),(J7+0.05))/MIN((RelLuminance($M7)+0.05),(J7+0.05))</f>
        <v>7.3565724056898887</v>
      </c>
      <c r="L7" s="12" t="b">
        <f t="shared" si="1"/>
        <v>1</v>
      </c>
      <c r="M7" s="103" t="str">
        <f t="shared" si="2"/>
        <v>1E1E1E</v>
      </c>
      <c r="N7" s="22"/>
      <c r="O7" s="9"/>
    </row>
    <row r="8" spans="1:15" x14ac:dyDescent="0.2">
      <c r="A8" s="13" t="s">
        <v>19</v>
      </c>
      <c r="B8" s="9" t="s">
        <v>368</v>
      </c>
      <c r="C8" s="9" t="s">
        <v>361</v>
      </c>
      <c r="D8" s="9" t="s">
        <v>362</v>
      </c>
      <c r="E8" s="23" t="s">
        <v>547</v>
      </c>
      <c r="F8" s="24" t="s">
        <v>549</v>
      </c>
      <c r="G8" s="11" cm="1">
        <f t="array" ref="G8">RelLuminance(E8)</f>
        <v>0.3935068758381563</v>
      </c>
      <c r="H8" s="11" cm="1">
        <f t="array" ref="H8">MAX((RelLuminance(M8)+0.05),(G8+0.05))/MIN((RelLuminance(M8)+0.05),(G8+0.05))</f>
        <v>7.0416882030811179</v>
      </c>
      <c r="I8" s="12" t="b">
        <f t="shared" si="0"/>
        <v>1</v>
      </c>
      <c r="J8" s="11" cm="1">
        <f t="array" ref="J8">RelLuminance(F8)</f>
        <v>0.34913010007566075</v>
      </c>
      <c r="K8" s="11" cm="1">
        <f t="array" ref="K8">MAX((RelLuminance($M8)+0.05),(J8+0.05))/MIN((RelLuminance($M8)+0.05),(J8+0.05))</f>
        <v>6.337105173140511</v>
      </c>
      <c r="L8" s="12" t="b">
        <f t="shared" si="1"/>
        <v>1</v>
      </c>
      <c r="M8" s="103" t="str">
        <f>IF(G8&gt;0.25,"1E1E1E","F9F9F9")</f>
        <v>1E1E1E</v>
      </c>
      <c r="N8" s="9"/>
      <c r="O8" s="9"/>
    </row>
    <row r="9" spans="1:15" x14ac:dyDescent="0.2">
      <c r="A9" s="13" t="s">
        <v>21</v>
      </c>
      <c r="B9" s="9" t="s">
        <v>369</v>
      </c>
      <c r="C9" s="9" t="s">
        <v>363</v>
      </c>
      <c r="D9" s="9" t="s">
        <v>364</v>
      </c>
      <c r="E9" s="23" t="s">
        <v>547</v>
      </c>
      <c r="F9" s="24" t="s">
        <v>549</v>
      </c>
      <c r="G9" s="11" cm="1">
        <f t="array" ref="G9">RelLuminance(E9)</f>
        <v>0.3935068758381563</v>
      </c>
      <c r="H9" s="11" cm="1">
        <f t="array" ref="H9">MAX((RelLuminance(M9)+0.05),(G9+0.05))/MIN((RelLuminance(M9)+0.05),(G9+0.05))</f>
        <v>7.0416882030811179</v>
      </c>
      <c r="I9" s="12" t="b">
        <f t="shared" si="0"/>
        <v>1</v>
      </c>
      <c r="J9" s="11" cm="1">
        <f t="array" ref="J9">RelLuminance(F9)</f>
        <v>0.34913010007566075</v>
      </c>
      <c r="K9" s="11" cm="1">
        <f t="array" ref="K9">MAX((RelLuminance($M9)+0.05),(J9+0.05))/MIN((RelLuminance($M9)+0.05),(J9+0.05))</f>
        <v>6.337105173140511</v>
      </c>
      <c r="L9" s="12" t="b">
        <f t="shared" si="1"/>
        <v>1</v>
      </c>
      <c r="M9" s="103" t="str">
        <f>IF(G9&gt;0.25,"1E1E1E","F9F9F9")</f>
        <v>1E1E1E</v>
      </c>
      <c r="N9" s="9"/>
      <c r="O9" s="9"/>
    </row>
    <row r="10" spans="1:15" x14ac:dyDescent="0.2">
      <c r="A10" s="13" t="s">
        <v>0</v>
      </c>
      <c r="B10" s="9" t="s">
        <v>358</v>
      </c>
      <c r="C10" s="9" t="s">
        <v>359</v>
      </c>
      <c r="D10" s="9" t="s">
        <v>360</v>
      </c>
      <c r="E10" s="23" t="s">
        <v>547</v>
      </c>
      <c r="F10" s="24" t="s">
        <v>549</v>
      </c>
      <c r="G10" s="11" cm="1">
        <f t="array" ref="G10">RelLuminance(E10)</f>
        <v>0.3935068758381563</v>
      </c>
      <c r="H10" s="11" cm="1">
        <f t="array" ref="H10">MAX((RelLuminance(M10)+0.05),(G10+0.05))/MIN((RelLuminance(M10)+0.05),(G10+0.05))</f>
        <v>7.0416882030811179</v>
      </c>
      <c r="I10" s="12" t="b">
        <f t="shared" si="0"/>
        <v>1</v>
      </c>
      <c r="J10" s="11" cm="1">
        <f t="array" ref="J10">RelLuminance(F10)</f>
        <v>0.34913010007566075</v>
      </c>
      <c r="K10" s="11" cm="1">
        <f t="array" ref="K10">MAX((RelLuminance($M10)+0.05),(J10+0.05))/MIN((RelLuminance($M10)+0.05),(J10+0.05))</f>
        <v>6.337105173140511</v>
      </c>
      <c r="L10" s="12" t="b">
        <f t="shared" si="1"/>
        <v>1</v>
      </c>
      <c r="M10" s="103" t="str">
        <f>IF(G10&gt;0.25,"1E1E1E","F9F9F9")</f>
        <v>1E1E1E</v>
      </c>
      <c r="N10" s="9"/>
      <c r="O10" s="9"/>
    </row>
    <row r="11" spans="1:15" x14ac:dyDescent="0.2">
      <c r="A11" s="13" t="s">
        <v>59</v>
      </c>
      <c r="B11" s="9" t="s">
        <v>367</v>
      </c>
      <c r="C11" s="9" t="s">
        <v>365</v>
      </c>
      <c r="D11" s="9" t="s">
        <v>366</v>
      </c>
      <c r="E11" s="23" t="s">
        <v>547</v>
      </c>
      <c r="F11" s="24" t="s">
        <v>549</v>
      </c>
      <c r="G11" s="11" cm="1">
        <f t="array" ref="G11">RelLuminance(E11)</f>
        <v>0.3935068758381563</v>
      </c>
      <c r="H11" s="11" cm="1">
        <f t="array" ref="H11">MAX((RelLuminance(M11)+0.05),(G11+0.05))/MIN((RelLuminance(M11)+0.05),(G11+0.05))</f>
        <v>7.0416882030811179</v>
      </c>
      <c r="I11" s="12" t="b">
        <f t="shared" si="0"/>
        <v>1</v>
      </c>
      <c r="J11" s="11" cm="1">
        <f t="array" ref="J11">RelLuminance(F11)</f>
        <v>0.34913010007566075</v>
      </c>
      <c r="K11" s="11" cm="1">
        <f t="array" ref="K11">MAX((RelLuminance($M11)+0.05),(J11+0.05))/MIN((RelLuminance($M11)+0.05),(J11+0.05))</f>
        <v>6.337105173140511</v>
      </c>
      <c r="L11" s="12" t="b">
        <f t="shared" si="1"/>
        <v>1</v>
      </c>
      <c r="M11" s="103" t="str">
        <f t="shared" ref="M11:M71" si="3">IF(G11&gt;0.25,"1E1E1E","F9F9F9")</f>
        <v>1E1E1E</v>
      </c>
      <c r="N11" s="9"/>
      <c r="O11" s="9"/>
    </row>
    <row r="12" spans="1:15" x14ac:dyDescent="0.2">
      <c r="A12" s="13" t="s">
        <v>34</v>
      </c>
      <c r="B12" s="9" t="s">
        <v>391</v>
      </c>
      <c r="C12" s="9" t="s">
        <v>392</v>
      </c>
      <c r="D12" s="9" t="s">
        <v>393</v>
      </c>
      <c r="E12" s="25" t="s">
        <v>473</v>
      </c>
      <c r="F12" s="26" t="s">
        <v>474</v>
      </c>
      <c r="G12" s="11" cm="1">
        <f t="array" ref="G12">RelLuminance(E12)</f>
        <v>9.9301957651276945E-2</v>
      </c>
      <c r="H12" s="11" cm="1">
        <f t="array" ref="H12">MAX((RelLuminance(M12)+0.05),(G12+0.05))/MIN((RelLuminance(M12)+0.05),(G12+0.05))</f>
        <v>6.679795445566751</v>
      </c>
      <c r="I12" s="12" t="b">
        <f t="shared" si="0"/>
        <v>1</v>
      </c>
      <c r="J12" s="11" cm="1">
        <f t="array" ref="J12">RelLuminance(F12)</f>
        <v>6.6555437471764428E-2</v>
      </c>
      <c r="K12" s="11" cm="1">
        <f t="array" ref="K12">MAX((RelLuminance($M12)+0.05),(J12+0.05))/MIN((RelLuminance($M12)+0.05),(J12+0.05))</f>
        <v>8.5564994509569523</v>
      </c>
      <c r="L12" s="12" t="b">
        <f t="shared" si="1"/>
        <v>1</v>
      </c>
      <c r="M12" s="103" t="str">
        <f t="shared" si="3"/>
        <v>F9F9F9</v>
      </c>
      <c r="N12" s="9"/>
      <c r="O12" s="9"/>
    </row>
    <row r="13" spans="1:15" x14ac:dyDescent="0.2">
      <c r="A13" s="13" t="s">
        <v>254</v>
      </c>
      <c r="B13" s="9" t="s">
        <v>405</v>
      </c>
      <c r="C13" s="9" t="s">
        <v>394</v>
      </c>
      <c r="D13" s="9" t="s">
        <v>395</v>
      </c>
      <c r="E13" s="25" t="s">
        <v>473</v>
      </c>
      <c r="F13" s="26" t="s">
        <v>474</v>
      </c>
      <c r="G13" s="11" cm="1">
        <f t="array" ref="G13">RelLuminance(E13)</f>
        <v>9.9301957651276945E-2</v>
      </c>
      <c r="H13" s="11" cm="1">
        <f t="array" ref="H13">MAX((RelLuminance(M13)+0.05),(G13+0.05))/MIN((RelLuminance(M13)+0.05),(G13+0.05))</f>
        <v>6.679795445566751</v>
      </c>
      <c r="I13" s="12" t="b">
        <f t="shared" si="0"/>
        <v>1</v>
      </c>
      <c r="J13" s="11" cm="1">
        <f t="array" ref="J13">RelLuminance(F13)</f>
        <v>6.6555437471764428E-2</v>
      </c>
      <c r="K13" s="11" cm="1">
        <f t="array" ref="K13">MAX((RelLuminance($M13)+0.05),(J13+0.05))/MIN((RelLuminance($M13)+0.05),(J13+0.05))</f>
        <v>8.5564994509569523</v>
      </c>
      <c r="L13" s="12" t="b">
        <f t="shared" si="1"/>
        <v>1</v>
      </c>
      <c r="M13" s="103" t="str">
        <f t="shared" si="3"/>
        <v>F9F9F9</v>
      </c>
      <c r="N13" s="9"/>
      <c r="O13" s="9"/>
    </row>
    <row r="14" spans="1:15" x14ac:dyDescent="0.2">
      <c r="A14" s="13" t="s">
        <v>256</v>
      </c>
      <c r="B14" s="9" t="s">
        <v>406</v>
      </c>
      <c r="C14" s="9" t="s">
        <v>396</v>
      </c>
      <c r="D14" s="9" t="s">
        <v>397</v>
      </c>
      <c r="E14" s="25" t="s">
        <v>473</v>
      </c>
      <c r="F14" s="26" t="s">
        <v>474</v>
      </c>
      <c r="G14" s="11" cm="1">
        <f t="array" ref="G14">RelLuminance(E14)</f>
        <v>9.9301957651276945E-2</v>
      </c>
      <c r="H14" s="11" cm="1">
        <f t="array" ref="H14">MAX((RelLuminance(M14)+0.05),(G14+0.05))/MIN((RelLuminance(M14)+0.05),(G14+0.05))</f>
        <v>6.679795445566751</v>
      </c>
      <c r="I14" s="12" t="b">
        <f t="shared" si="0"/>
        <v>1</v>
      </c>
      <c r="J14" s="11" cm="1">
        <f t="array" ref="J14">RelLuminance(F14)</f>
        <v>6.6555437471764428E-2</v>
      </c>
      <c r="K14" s="11" cm="1">
        <f t="array" ref="K14">MAX((RelLuminance($M14)+0.05),(J14+0.05))/MIN((RelLuminance($M14)+0.05),(J14+0.05))</f>
        <v>8.5564994509569523</v>
      </c>
      <c r="L14" s="12" t="b">
        <f t="shared" si="1"/>
        <v>1</v>
      </c>
      <c r="M14" s="103" t="str">
        <f t="shared" si="3"/>
        <v>F9F9F9</v>
      </c>
      <c r="N14" s="9"/>
      <c r="O14" s="9"/>
    </row>
    <row r="15" spans="1:15" x14ac:dyDescent="0.2">
      <c r="A15" s="13" t="s">
        <v>24</v>
      </c>
      <c r="B15" s="9" t="s">
        <v>407</v>
      </c>
      <c r="C15" s="9" t="s">
        <v>398</v>
      </c>
      <c r="D15" s="9" t="s">
        <v>399</v>
      </c>
      <c r="E15" s="25" t="s">
        <v>473</v>
      </c>
      <c r="F15" s="26" t="s">
        <v>474</v>
      </c>
      <c r="G15" s="11" cm="1">
        <f t="array" ref="G15">RelLuminance(E15)</f>
        <v>9.9301957651276945E-2</v>
      </c>
      <c r="H15" s="11" cm="1">
        <f t="array" ref="H15">MAX((RelLuminance(M15)+0.05),(G15+0.05))/MIN((RelLuminance(M15)+0.05),(G15+0.05))</f>
        <v>6.679795445566751</v>
      </c>
      <c r="I15" s="12" t="b">
        <f t="shared" si="0"/>
        <v>1</v>
      </c>
      <c r="J15" s="11" cm="1">
        <f t="array" ref="J15">RelLuminance(F15)</f>
        <v>6.6555437471764428E-2</v>
      </c>
      <c r="K15" s="11" cm="1">
        <f t="array" ref="K15">MAX((RelLuminance($M15)+0.05),(J15+0.05))/MIN((RelLuminance($M15)+0.05),(J15+0.05))</f>
        <v>8.5564994509569523</v>
      </c>
      <c r="L15" s="12" t="b">
        <f t="shared" si="1"/>
        <v>1</v>
      </c>
      <c r="M15" s="103" t="str">
        <f t="shared" si="3"/>
        <v>F9F9F9</v>
      </c>
      <c r="N15" s="9"/>
      <c r="O15" s="9"/>
    </row>
    <row r="16" spans="1:15" x14ac:dyDescent="0.2">
      <c r="A16" s="13" t="s">
        <v>72</v>
      </c>
      <c r="B16" s="9" t="s">
        <v>408</v>
      </c>
      <c r="C16" s="9" t="s">
        <v>400</v>
      </c>
      <c r="D16" s="9" t="s">
        <v>401</v>
      </c>
      <c r="E16" s="25" t="s">
        <v>473</v>
      </c>
      <c r="F16" s="26" t="s">
        <v>474</v>
      </c>
      <c r="G16" s="11" cm="1">
        <f t="array" ref="G16">RelLuminance(E16)</f>
        <v>9.9301957651276945E-2</v>
      </c>
      <c r="H16" s="11" cm="1">
        <f t="array" ref="H16">MAX((RelLuminance(M16)+0.05),(G16+0.05))/MIN((RelLuminance(M16)+0.05),(G16+0.05))</f>
        <v>6.679795445566751</v>
      </c>
      <c r="I16" s="12" t="b">
        <f t="shared" si="0"/>
        <v>1</v>
      </c>
      <c r="J16" s="11" cm="1">
        <f t="array" ref="J16">RelLuminance(F16)</f>
        <v>6.6555437471764428E-2</v>
      </c>
      <c r="K16" s="11" cm="1">
        <f t="array" ref="K16">MAX((RelLuminance($M16)+0.05),(J16+0.05))/MIN((RelLuminance($M16)+0.05),(J16+0.05))</f>
        <v>8.5564994509569523</v>
      </c>
      <c r="L16" s="12" t="b">
        <f t="shared" si="1"/>
        <v>1</v>
      </c>
      <c r="M16" s="103" t="str">
        <f t="shared" si="3"/>
        <v>F9F9F9</v>
      </c>
      <c r="N16" s="9"/>
      <c r="O16" s="9"/>
    </row>
    <row r="17" spans="1:15" x14ac:dyDescent="0.2">
      <c r="A17" s="13" t="s">
        <v>125</v>
      </c>
      <c r="B17" s="9" t="s">
        <v>445</v>
      </c>
      <c r="C17" s="9" t="s">
        <v>447</v>
      </c>
      <c r="D17" s="9" t="s">
        <v>446</v>
      </c>
      <c r="E17" s="27" t="s">
        <v>476</v>
      </c>
      <c r="F17" s="28" t="s">
        <v>475</v>
      </c>
      <c r="G17" s="11" cm="1">
        <f t="array" ref="G17">RelLuminance(E17)</f>
        <v>8.6312334585315231E-2</v>
      </c>
      <c r="H17" s="11" cm="1">
        <f t="array" ref="H17">MAX((RelLuminance(M17)+0.05),(G17+0.05))/MIN((RelLuminance(M17)+0.05),(G17+0.05))</f>
        <v>7.3163337695533723</v>
      </c>
      <c r="I17" s="12" t="b">
        <f t="shared" si="0"/>
        <v>1</v>
      </c>
      <c r="J17" s="11" cm="1">
        <f t="array" ref="J17">RelLuminance(F17)</f>
        <v>6.5925193817131897E-2</v>
      </c>
      <c r="K17" s="11" cm="1">
        <f t="array" ref="K17">MAX((RelLuminance($M17)+0.05),(J17+0.05))/MIN((RelLuminance($M17)+0.05),(J17+0.05))</f>
        <v>8.6030180661713391</v>
      </c>
      <c r="L17" s="12" t="b">
        <f t="shared" si="1"/>
        <v>1</v>
      </c>
      <c r="M17" s="103" t="str">
        <f t="shared" si="3"/>
        <v>F9F9F9</v>
      </c>
      <c r="N17" s="9"/>
      <c r="O17" s="9"/>
    </row>
    <row r="18" spans="1:15" x14ac:dyDescent="0.2">
      <c r="A18" s="13" t="s">
        <v>255</v>
      </c>
      <c r="B18" s="9"/>
      <c r="C18" s="9" t="s">
        <v>574</v>
      </c>
      <c r="D18" s="9" t="s">
        <v>573</v>
      </c>
      <c r="E18" s="29"/>
      <c r="F18" s="29"/>
      <c r="G18" s="11" cm="1">
        <f t="array" ref="G18">RelLuminance(E18)</f>
        <v>0</v>
      </c>
      <c r="H18" s="11" cm="1">
        <f t="array" ref="H18">MAX((RelLuminance(M18)+0.05),(G18+0.05))/MIN((RelLuminance(M18)+0.05),(G18+0.05))</f>
        <v>19.946130734663996</v>
      </c>
      <c r="I18" s="12" t="b">
        <f t="shared" si="0"/>
        <v>1</v>
      </c>
      <c r="J18" s="11" cm="1">
        <f t="array" ref="J18">RelLuminance(F18)</f>
        <v>0</v>
      </c>
      <c r="K18" s="11" cm="1">
        <f t="array" ref="K18">MAX((RelLuminance($M18)+0.05),(J18+0.05))/MIN((RelLuminance($M18)+0.05),(J18+0.05))</f>
        <v>19.946130734663996</v>
      </c>
      <c r="L18" s="12" t="b">
        <f t="shared" si="1"/>
        <v>1</v>
      </c>
      <c r="M18" s="103" t="str">
        <f t="shared" si="3"/>
        <v>F9F9F9</v>
      </c>
      <c r="N18" s="9"/>
      <c r="O18" s="9"/>
    </row>
    <row r="19" spans="1:15" x14ac:dyDescent="0.2">
      <c r="A19" s="13" t="s">
        <v>12</v>
      </c>
      <c r="B19" s="9" t="s">
        <v>370</v>
      </c>
      <c r="C19" s="9" t="s">
        <v>371</v>
      </c>
      <c r="D19" s="9" t="s">
        <v>372</v>
      </c>
      <c r="E19" s="30" t="s">
        <v>555</v>
      </c>
      <c r="F19" s="31" t="s">
        <v>556</v>
      </c>
      <c r="G19" s="11" cm="1">
        <f t="array" ref="G19">RelLuminance(E19)</f>
        <v>0.41170747700127025</v>
      </c>
      <c r="H19" s="11" cm="1">
        <f t="array" ref="H19">MAX((RelLuminance(M19)+0.05),(G19+0.05))/MIN((RelLuminance(M19)+0.05),(G19+0.05))</f>
        <v>8.6548727183465655</v>
      </c>
      <c r="I19" s="12" t="b">
        <f t="shared" si="0"/>
        <v>1</v>
      </c>
      <c r="J19" s="11" cm="1">
        <f t="array" ref="J19">RelLuminance(F19)</f>
        <v>0.33846240987955678</v>
      </c>
      <c r="K19" s="11" cm="1">
        <f t="array" ref="K19">MAX((RelLuminance($M19)+0.05),(J19+0.05))/MIN((RelLuminance($M19)+0.05),(J19+0.05))</f>
        <v>7.2818675911555308</v>
      </c>
      <c r="L19" s="12" t="b">
        <f t="shared" si="1"/>
        <v>1</v>
      </c>
      <c r="M19" s="103" t="s">
        <v>557</v>
      </c>
      <c r="N19" s="9"/>
      <c r="O19" s="9"/>
    </row>
    <row r="20" spans="1:15" x14ac:dyDescent="0.2">
      <c r="A20" s="13" t="s">
        <v>3</v>
      </c>
      <c r="B20" s="9" t="s">
        <v>299</v>
      </c>
      <c r="C20" s="9" t="s">
        <v>315</v>
      </c>
      <c r="D20" s="9" t="s">
        <v>314</v>
      </c>
      <c r="E20" s="32" t="s">
        <v>536</v>
      </c>
      <c r="F20" s="33" t="s">
        <v>537</v>
      </c>
      <c r="G20" s="11" cm="1">
        <f t="array" ref="G20">RelLuminance(E20)</f>
        <v>0.16168128939231499</v>
      </c>
      <c r="H20" s="11" cm="1">
        <f t="array" ref="H20">MAX((RelLuminance(M20)+0.05),(G20+0.05))/MIN((RelLuminance(M20)+0.05),(G20+0.05))</f>
        <v>4.7113589471994519</v>
      </c>
      <c r="I20" s="12" t="b">
        <f t="shared" si="0"/>
        <v>1</v>
      </c>
      <c r="J20" s="11" cm="1">
        <f t="array" ref="J20">RelLuminance(F20)</f>
        <v>0.12352541743993579</v>
      </c>
      <c r="K20" s="11" cm="1">
        <f t="array" ref="K20">MAX((RelLuminance($M20)+0.05),(J20+0.05))/MIN((RelLuminance($M20)+0.05),(J20+0.05))</f>
        <v>5.747322504372641</v>
      </c>
      <c r="L20" s="12" t="b">
        <f t="shared" si="1"/>
        <v>1</v>
      </c>
      <c r="M20" s="103" t="str">
        <f t="shared" si="3"/>
        <v>F9F9F9</v>
      </c>
      <c r="N20" s="9"/>
      <c r="O20" s="9"/>
    </row>
    <row r="21" spans="1:15" x14ac:dyDescent="0.2">
      <c r="A21" s="13" t="s">
        <v>42</v>
      </c>
      <c r="B21" s="9" t="s">
        <v>316</v>
      </c>
      <c r="C21" s="9" t="s">
        <v>318</v>
      </c>
      <c r="D21" s="9" t="s">
        <v>317</v>
      </c>
      <c r="E21" s="32" t="s">
        <v>536</v>
      </c>
      <c r="F21" s="33" t="s">
        <v>537</v>
      </c>
      <c r="G21" s="11" cm="1">
        <f t="array" ref="G21">RelLuminance(E21)</f>
        <v>0.16168128939231499</v>
      </c>
      <c r="H21" s="11" cm="1">
        <f t="array" ref="H21">MAX((RelLuminance(M21)+0.05),(G21+0.05))/MIN((RelLuminance(M21)+0.05),(G21+0.05))</f>
        <v>4.7113589471994519</v>
      </c>
      <c r="I21" s="12" t="b">
        <f t="shared" si="0"/>
        <v>1</v>
      </c>
      <c r="J21" s="11" cm="1">
        <f t="array" ref="J21">RelLuminance(F21)</f>
        <v>0.12352541743993579</v>
      </c>
      <c r="K21" s="11" cm="1">
        <f t="array" ref="K21">MAX((RelLuminance($M21)+0.05),(J21+0.05))/MIN((RelLuminance($M21)+0.05),(J21+0.05))</f>
        <v>5.747322504372641</v>
      </c>
      <c r="L21" s="12" t="b">
        <f t="shared" si="1"/>
        <v>1</v>
      </c>
      <c r="M21" s="103" t="str">
        <f t="shared" si="3"/>
        <v>F9F9F9</v>
      </c>
      <c r="N21" s="9"/>
      <c r="O21" s="9"/>
    </row>
    <row r="22" spans="1:15" x14ac:dyDescent="0.2">
      <c r="A22" s="13" t="s">
        <v>181</v>
      </c>
      <c r="B22" s="9" t="s">
        <v>321</v>
      </c>
      <c r="C22" s="9" t="s">
        <v>320</v>
      </c>
      <c r="D22" s="9" t="s">
        <v>319</v>
      </c>
      <c r="E22" s="32" t="s">
        <v>536</v>
      </c>
      <c r="F22" s="33" t="s">
        <v>537</v>
      </c>
      <c r="G22" s="11" cm="1">
        <f t="array" ref="G22">RelLuminance(E22)</f>
        <v>0.16168128939231499</v>
      </c>
      <c r="H22" s="11" cm="1">
        <f t="array" ref="H22">MAX((RelLuminance(M22)+0.05),(G22+0.05))/MIN((RelLuminance(M22)+0.05),(G22+0.05))</f>
        <v>4.7113589471994519</v>
      </c>
      <c r="I22" s="12" t="b">
        <f t="shared" si="0"/>
        <v>1</v>
      </c>
      <c r="J22" s="11" cm="1">
        <f t="array" ref="J22">RelLuminance(F22)</f>
        <v>0.12352541743993579</v>
      </c>
      <c r="K22" s="11" cm="1">
        <f t="array" ref="K22">MAX((RelLuminance($M22)+0.05),(J22+0.05))/MIN((RelLuminance($M22)+0.05),(J22+0.05))</f>
        <v>5.747322504372641</v>
      </c>
      <c r="L22" s="12" t="b">
        <f t="shared" si="1"/>
        <v>1</v>
      </c>
      <c r="M22" s="103" t="str">
        <f t="shared" si="3"/>
        <v>F9F9F9</v>
      </c>
      <c r="N22" s="9"/>
      <c r="O22" s="9"/>
    </row>
    <row r="23" spans="1:15" x14ac:dyDescent="0.2">
      <c r="A23" s="13" t="s">
        <v>175</v>
      </c>
      <c r="B23" s="9" t="s">
        <v>324</v>
      </c>
      <c r="C23" s="9" t="s">
        <v>323</v>
      </c>
      <c r="D23" s="9" t="s">
        <v>322</v>
      </c>
      <c r="E23" s="32" t="s">
        <v>536</v>
      </c>
      <c r="F23" s="33" t="s">
        <v>537</v>
      </c>
      <c r="G23" s="11" cm="1">
        <f t="array" ref="G23">RelLuminance(E23)</f>
        <v>0.16168128939231499</v>
      </c>
      <c r="H23" s="11" cm="1">
        <f t="array" ref="H23">MAX((RelLuminance(M23)+0.05),(G23+0.05))/MIN((RelLuminance(M23)+0.05),(G23+0.05))</f>
        <v>4.7113589471994519</v>
      </c>
      <c r="I23" s="12" t="b">
        <f t="shared" si="0"/>
        <v>1</v>
      </c>
      <c r="J23" s="11" cm="1">
        <f t="array" ref="J23">RelLuminance(F23)</f>
        <v>0.12352541743993579</v>
      </c>
      <c r="K23" s="11" cm="1">
        <f t="array" ref="K23">MAX((RelLuminance($M23)+0.05),(J23+0.05))/MIN((RelLuminance($M23)+0.05),(J23+0.05))</f>
        <v>5.747322504372641</v>
      </c>
      <c r="L23" s="12" t="b">
        <f t="shared" si="1"/>
        <v>1</v>
      </c>
      <c r="M23" s="103" t="str">
        <f t="shared" si="3"/>
        <v>F9F9F9</v>
      </c>
      <c r="N23" s="9"/>
      <c r="O23" s="9"/>
    </row>
    <row r="24" spans="1:15" x14ac:dyDescent="0.2">
      <c r="A24" s="13" t="s">
        <v>334</v>
      </c>
      <c r="B24" s="9" t="s">
        <v>335</v>
      </c>
      <c r="C24" s="9" t="s">
        <v>336</v>
      </c>
      <c r="D24" s="9" t="s">
        <v>337</v>
      </c>
      <c r="E24" s="32" t="s">
        <v>536</v>
      </c>
      <c r="F24" s="33" t="s">
        <v>537</v>
      </c>
      <c r="G24" s="11" cm="1">
        <f t="array" ref="G24">RelLuminance(E24)</f>
        <v>0.16168128939231499</v>
      </c>
      <c r="H24" s="11" cm="1">
        <f t="array" ref="H24">MAX((RelLuminance(M24)+0.05),(G24+0.05))/MIN((RelLuminance(M24)+0.05),(G24+0.05))</f>
        <v>4.7113589471994519</v>
      </c>
      <c r="I24" s="12" t="b">
        <f t="shared" si="0"/>
        <v>1</v>
      </c>
      <c r="J24" s="11" cm="1">
        <f t="array" ref="J24">RelLuminance(F24)</f>
        <v>0.12352541743993579</v>
      </c>
      <c r="K24" s="11" cm="1">
        <f t="array" ref="K24">MAX((RelLuminance($M24)+0.05),(J24+0.05))/MIN((RelLuminance($M24)+0.05),(J24+0.05))</f>
        <v>5.747322504372641</v>
      </c>
      <c r="L24" s="12" t="b">
        <f t="shared" si="1"/>
        <v>1</v>
      </c>
      <c r="M24" s="103" t="str">
        <f t="shared" si="3"/>
        <v>F9F9F9</v>
      </c>
      <c r="N24" s="9"/>
      <c r="O24" s="9"/>
    </row>
    <row r="25" spans="1:15" x14ac:dyDescent="0.2">
      <c r="A25" s="13" t="s">
        <v>55</v>
      </c>
      <c r="B25" s="9" t="s">
        <v>327</v>
      </c>
      <c r="C25" s="9" t="s">
        <v>326</v>
      </c>
      <c r="D25" s="9" t="s">
        <v>325</v>
      </c>
      <c r="E25" s="32" t="s">
        <v>536</v>
      </c>
      <c r="F25" s="33" t="s">
        <v>537</v>
      </c>
      <c r="G25" s="11" cm="1">
        <f t="array" ref="G25">RelLuminance(E25)</f>
        <v>0.16168128939231499</v>
      </c>
      <c r="H25" s="11" cm="1">
        <f t="array" ref="H25">MAX((RelLuminance(M25)+0.05),(G25+0.05))/MIN((RelLuminance(M25)+0.05),(G25+0.05))</f>
        <v>4.7113589471994519</v>
      </c>
      <c r="I25" s="12" t="b">
        <f t="shared" si="0"/>
        <v>1</v>
      </c>
      <c r="J25" s="11" cm="1">
        <f t="array" ref="J25">RelLuminance(F25)</f>
        <v>0.12352541743993579</v>
      </c>
      <c r="K25" s="11" cm="1">
        <f t="array" ref="K25">MAX((RelLuminance($M25)+0.05),(J25+0.05))/MIN((RelLuminance($M25)+0.05),(J25+0.05))</f>
        <v>5.747322504372641</v>
      </c>
      <c r="L25" s="12" t="b">
        <f t="shared" si="1"/>
        <v>1</v>
      </c>
      <c r="M25" s="103" t="str">
        <f t="shared" si="3"/>
        <v>F9F9F9</v>
      </c>
      <c r="N25" s="9"/>
      <c r="O25" s="9"/>
    </row>
    <row r="26" spans="1:15" x14ac:dyDescent="0.2">
      <c r="A26" s="13" t="s">
        <v>106</v>
      </c>
      <c r="B26" s="9" t="s">
        <v>328</v>
      </c>
      <c r="C26" s="9" t="s">
        <v>329</v>
      </c>
      <c r="D26" s="9" t="s">
        <v>330</v>
      </c>
      <c r="E26" s="32" t="s">
        <v>536</v>
      </c>
      <c r="F26" s="33" t="s">
        <v>537</v>
      </c>
      <c r="G26" s="11" cm="1">
        <f t="array" ref="G26">RelLuminance(E26)</f>
        <v>0.16168128939231499</v>
      </c>
      <c r="H26" s="11" cm="1">
        <f t="array" ref="H26">MAX((RelLuminance(M26)+0.05),(G26+0.05))/MIN((RelLuminance(M26)+0.05),(G26+0.05))</f>
        <v>4.7113589471994519</v>
      </c>
      <c r="I26" s="12" t="b">
        <f t="shared" si="0"/>
        <v>1</v>
      </c>
      <c r="J26" s="11" cm="1">
        <f t="array" ref="J26">RelLuminance(F26)</f>
        <v>0.12352541743993579</v>
      </c>
      <c r="K26" s="11" cm="1">
        <f t="array" ref="K26">MAX((RelLuminance($M26)+0.05),(J26+0.05))/MIN((RelLuminance($M26)+0.05),(J26+0.05))</f>
        <v>5.747322504372641</v>
      </c>
      <c r="L26" s="12" t="b">
        <f t="shared" si="1"/>
        <v>1</v>
      </c>
      <c r="M26" s="103" t="str">
        <f t="shared" si="3"/>
        <v>F9F9F9</v>
      </c>
      <c r="N26" s="9"/>
      <c r="O26" s="9"/>
    </row>
    <row r="27" spans="1:15" x14ac:dyDescent="0.2">
      <c r="A27" s="13" t="s">
        <v>83</v>
      </c>
      <c r="B27" s="9" t="s">
        <v>331</v>
      </c>
      <c r="C27" s="9" t="s">
        <v>332</v>
      </c>
      <c r="D27" s="9" t="s">
        <v>333</v>
      </c>
      <c r="E27" s="32" t="s">
        <v>536</v>
      </c>
      <c r="F27" s="33" t="s">
        <v>537</v>
      </c>
      <c r="G27" s="11" cm="1">
        <f t="array" ref="G27">RelLuminance(E27)</f>
        <v>0.16168128939231499</v>
      </c>
      <c r="H27" s="11" cm="1">
        <f t="array" ref="H27">MAX((RelLuminance(M27)+0.05),(G27+0.05))/MIN((RelLuminance(M27)+0.05),(G27+0.05))</f>
        <v>4.7113589471994519</v>
      </c>
      <c r="I27" s="12" t="b">
        <f t="shared" si="0"/>
        <v>1</v>
      </c>
      <c r="J27" s="11" cm="1">
        <f t="array" ref="J27">RelLuminance(F27)</f>
        <v>0.12352541743993579</v>
      </c>
      <c r="K27" s="11" cm="1">
        <f t="array" ref="K27">MAX((RelLuminance($M27)+0.05),(J27+0.05))/MIN((RelLuminance($M27)+0.05),(J27+0.05))</f>
        <v>5.747322504372641</v>
      </c>
      <c r="L27" s="12" t="b">
        <f t="shared" si="1"/>
        <v>1</v>
      </c>
      <c r="M27" s="103" t="str">
        <f t="shared" si="3"/>
        <v>F9F9F9</v>
      </c>
      <c r="N27" s="9"/>
      <c r="O27" s="9"/>
    </row>
    <row r="28" spans="1:15" x14ac:dyDescent="0.2">
      <c r="A28" s="13" t="s">
        <v>285</v>
      </c>
      <c r="B28" s="9" t="s">
        <v>310</v>
      </c>
      <c r="C28" s="9" t="s">
        <v>304</v>
      </c>
      <c r="D28" s="9" t="s">
        <v>305</v>
      </c>
      <c r="E28" s="34" t="s">
        <v>477</v>
      </c>
      <c r="F28" s="35" t="s">
        <v>478</v>
      </c>
      <c r="G28" s="11" cm="1">
        <f t="array" ref="G28">RelLuminance(E28)</f>
        <v>7.7185901014926173E-2</v>
      </c>
      <c r="H28" s="11" cm="1">
        <f t="array" ref="H28">MAX((RelLuminance(M28)+0.05),(G28+0.05))/MIN((RelLuminance(M28)+0.05),(G28+0.05))</f>
        <v>7.8413293358369875</v>
      </c>
      <c r="I28" s="12" t="b">
        <f t="shared" si="0"/>
        <v>1</v>
      </c>
      <c r="J28" s="11" cm="1">
        <f t="array" ref="J28">RelLuminance(F28)</f>
        <v>5.1748708930676388E-2</v>
      </c>
      <c r="K28" s="11" cm="1">
        <f t="array" ref="K28">MAX((RelLuminance($M28)+0.05),(J28+0.05))/MIN((RelLuminance($M28)+0.05),(J28+0.05))</f>
        <v>9.801662814342798</v>
      </c>
      <c r="L28" s="12" t="b">
        <f t="shared" si="1"/>
        <v>1</v>
      </c>
      <c r="M28" s="103" t="str">
        <f t="shared" si="3"/>
        <v>F9F9F9</v>
      </c>
      <c r="N28" s="9"/>
      <c r="O28" s="9"/>
    </row>
    <row r="29" spans="1:15" x14ac:dyDescent="0.2">
      <c r="A29" s="13" t="s">
        <v>293</v>
      </c>
      <c r="B29" s="9" t="s">
        <v>308</v>
      </c>
      <c r="C29" s="9" t="s">
        <v>303</v>
      </c>
      <c r="D29" s="9" t="s">
        <v>307</v>
      </c>
      <c r="E29" s="34" t="s">
        <v>477</v>
      </c>
      <c r="F29" s="35" t="s">
        <v>478</v>
      </c>
      <c r="G29" s="11" cm="1">
        <f t="array" ref="G29">RelLuminance(E29)</f>
        <v>7.7185901014926173E-2</v>
      </c>
      <c r="H29" s="11" cm="1">
        <f t="array" ref="H29">MAX((RelLuminance(M29)+0.05),(G29+0.05))/MIN((RelLuminance(M29)+0.05),(G29+0.05))</f>
        <v>7.8413293358369875</v>
      </c>
      <c r="I29" s="12" t="b">
        <f t="shared" si="0"/>
        <v>1</v>
      </c>
      <c r="J29" s="11" cm="1">
        <f t="array" ref="J29">RelLuminance(F29)</f>
        <v>5.1748708930676388E-2</v>
      </c>
      <c r="K29" s="11" cm="1">
        <f t="array" ref="K29">MAX((RelLuminance($M29)+0.05),(J29+0.05))/MIN((RelLuminance($M29)+0.05),(J29+0.05))</f>
        <v>9.801662814342798</v>
      </c>
      <c r="L29" s="12" t="b">
        <f t="shared" si="1"/>
        <v>1</v>
      </c>
      <c r="M29" s="103" t="str">
        <f t="shared" si="3"/>
        <v>F9F9F9</v>
      </c>
      <c r="N29" s="9"/>
      <c r="O29" s="9"/>
    </row>
    <row r="30" spans="1:15" x14ac:dyDescent="0.2">
      <c r="A30" s="13" t="s">
        <v>589</v>
      </c>
      <c r="B30" s="109" t="s">
        <v>591</v>
      </c>
      <c r="C30" s="9"/>
      <c r="D30" s="9"/>
      <c r="E30" s="34" t="s">
        <v>477</v>
      </c>
      <c r="F30" s="35" t="s">
        <v>478</v>
      </c>
      <c r="G30" s="11" cm="1">
        <f t="array" ref="G30">RelLuminance(E30)</f>
        <v>7.7185901014926173E-2</v>
      </c>
      <c r="H30" s="11" cm="1">
        <f t="array" ref="H30">MAX((RelLuminance(M30)+0.05),(G30+0.05))/MIN((RelLuminance(M30)+0.05),(G30+0.05))</f>
        <v>7.8413293358369875</v>
      </c>
      <c r="I30" s="12" t="b">
        <f t="shared" ref="I30" si="4">H30&gt;=4.5</f>
        <v>1</v>
      </c>
      <c r="J30" s="11" cm="1">
        <f t="array" ref="J30">RelLuminance(F30)</f>
        <v>5.1748708930676388E-2</v>
      </c>
      <c r="K30" s="11" cm="1">
        <f t="array" ref="K30">MAX((RelLuminance($M30)+0.05),(J30+0.05))/MIN((RelLuminance($M30)+0.05),(J30+0.05))</f>
        <v>9.801662814342798</v>
      </c>
      <c r="L30" s="12" t="b">
        <f t="shared" ref="L30" si="5">K30&gt;=4.5</f>
        <v>1</v>
      </c>
      <c r="M30" s="103" t="str">
        <f t="shared" ref="M30" si="6">IF(G30&gt;0.25,"1E1E1E","F9F9F9")</f>
        <v>F9F9F9</v>
      </c>
      <c r="N30" s="9"/>
      <c r="O30" s="9"/>
    </row>
    <row r="31" spans="1:15" x14ac:dyDescent="0.2">
      <c r="A31" s="13" t="s">
        <v>286</v>
      </c>
      <c r="B31" s="9" t="s">
        <v>309</v>
      </c>
      <c r="C31" s="9" t="s">
        <v>302</v>
      </c>
      <c r="D31" s="9" t="s">
        <v>306</v>
      </c>
      <c r="E31" s="34" t="s">
        <v>477</v>
      </c>
      <c r="F31" s="35" t="s">
        <v>478</v>
      </c>
      <c r="G31" s="11" cm="1">
        <f t="array" ref="G31">RelLuminance(E31)</f>
        <v>7.7185901014926173E-2</v>
      </c>
      <c r="H31" s="11" cm="1">
        <f t="array" ref="H31">MAX((RelLuminance(M31)+0.05),(G31+0.05))/MIN((RelLuminance(M31)+0.05),(G31+0.05))</f>
        <v>7.8413293358369875</v>
      </c>
      <c r="I31" s="12" t="b">
        <f t="shared" si="0"/>
        <v>1</v>
      </c>
      <c r="J31" s="11" cm="1">
        <f t="array" ref="J31">RelLuminance(F31)</f>
        <v>5.1748708930676388E-2</v>
      </c>
      <c r="K31" s="11" cm="1">
        <f t="array" ref="K31">MAX((RelLuminance($M31)+0.05),(J31+0.05))/MIN((RelLuminance($M31)+0.05),(J31+0.05))</f>
        <v>9.801662814342798</v>
      </c>
      <c r="L31" s="12" t="b">
        <f t="shared" si="1"/>
        <v>1</v>
      </c>
      <c r="M31" s="103" t="str">
        <f t="shared" si="3"/>
        <v>F9F9F9</v>
      </c>
      <c r="N31" s="9"/>
      <c r="O31" s="9"/>
    </row>
    <row r="32" spans="1:15" x14ac:dyDescent="0.2">
      <c r="A32" s="13" t="s">
        <v>203</v>
      </c>
      <c r="B32" s="9" t="s">
        <v>313</v>
      </c>
      <c r="C32" s="9" t="s">
        <v>311</v>
      </c>
      <c r="D32" s="9" t="s">
        <v>312</v>
      </c>
      <c r="E32" s="34" t="s">
        <v>477</v>
      </c>
      <c r="F32" s="35" t="s">
        <v>478</v>
      </c>
      <c r="G32" s="11" cm="1">
        <f t="array" ref="G32">RelLuminance(E32)</f>
        <v>7.7185901014926173E-2</v>
      </c>
      <c r="H32" s="11" cm="1">
        <f t="array" ref="H32">MAX((RelLuminance(M32)+0.05),(G32+0.05))/MIN((RelLuminance(M32)+0.05),(G32+0.05))</f>
        <v>7.8413293358369875</v>
      </c>
      <c r="I32" s="12" t="b">
        <f t="shared" si="0"/>
        <v>1</v>
      </c>
      <c r="J32" s="11" cm="1">
        <f t="array" ref="J32">RelLuminance(F32)</f>
        <v>5.1748708930676388E-2</v>
      </c>
      <c r="K32" s="11" cm="1">
        <f t="array" ref="K32">MAX((RelLuminance($M32)+0.05),(J32+0.05))/MIN((RelLuminance($M32)+0.05),(J32+0.05))</f>
        <v>9.801662814342798</v>
      </c>
      <c r="L32" s="12" t="b">
        <f t="shared" si="1"/>
        <v>1</v>
      </c>
      <c r="M32" s="103" t="str">
        <f t="shared" si="3"/>
        <v>F9F9F9</v>
      </c>
      <c r="N32" s="9"/>
      <c r="O32" s="9"/>
    </row>
    <row r="33" spans="1:15" x14ac:dyDescent="0.2">
      <c r="A33" s="13" t="s">
        <v>44</v>
      </c>
      <c r="B33" s="9" t="s">
        <v>448</v>
      </c>
      <c r="C33" s="9" t="s">
        <v>449</v>
      </c>
      <c r="D33" s="9" t="s">
        <v>450</v>
      </c>
      <c r="E33" s="36" t="s">
        <v>523</v>
      </c>
      <c r="F33" s="37" t="s">
        <v>524</v>
      </c>
      <c r="G33" s="11" cm="1">
        <f t="array" ref="G33">RelLuminance(E33)</f>
        <v>6.6386878283472769E-2</v>
      </c>
      <c r="H33" s="11" cm="1">
        <f t="array" ref="H33">MAX((RelLuminance(M33)+0.05),(G33+0.05))/MIN((RelLuminance(M33)+0.05),(G33+0.05))</f>
        <v>8.5688915403689432</v>
      </c>
      <c r="I33" s="12" t="b">
        <f t="shared" si="0"/>
        <v>1</v>
      </c>
      <c r="J33" s="11" cm="1">
        <f t="array" ref="J33">RelLuminance(F33)</f>
        <v>3.6811195561535337E-2</v>
      </c>
      <c r="K33" s="11" cm="1">
        <f t="array" ref="K33">MAX((RelLuminance($M33)+0.05),(J33+0.05))/MIN((RelLuminance($M33)+0.05),(J33+0.05))</f>
        <v>11.488224880237572</v>
      </c>
      <c r="L33" s="12" t="b">
        <f t="shared" si="1"/>
        <v>1</v>
      </c>
      <c r="M33" s="103" t="str">
        <f t="shared" si="3"/>
        <v>F9F9F9</v>
      </c>
      <c r="N33" s="9"/>
      <c r="O33" s="9"/>
    </row>
    <row r="34" spans="1:15" x14ac:dyDescent="0.2">
      <c r="A34" s="13" t="s">
        <v>264</v>
      </c>
      <c r="B34" s="9" t="s">
        <v>339</v>
      </c>
      <c r="C34" s="9" t="s">
        <v>340</v>
      </c>
      <c r="D34" s="9" t="s">
        <v>343</v>
      </c>
      <c r="E34" s="38" t="s">
        <v>479</v>
      </c>
      <c r="F34" s="39" t="s">
        <v>480</v>
      </c>
      <c r="G34" s="11" cm="1">
        <f t="array" ref="G34">RelLuminance(E34)</f>
        <v>9.8954561567066016E-2</v>
      </c>
      <c r="H34" s="11" cm="1">
        <f t="array" ref="H34">MAX((RelLuminance(M34)+0.05),(G34+0.05))/MIN((RelLuminance(M34)+0.05),(G34+0.05))</f>
        <v>6.695374255350802</v>
      </c>
      <c r="I34" s="12" t="b">
        <f t="shared" si="0"/>
        <v>1</v>
      </c>
      <c r="J34" s="11" cm="1">
        <f t="array" ref="J34">RelLuminance(F34)</f>
        <v>7.1836597968438054E-2</v>
      </c>
      <c r="K34" s="11" cm="1">
        <f t="array" ref="K34">MAX((RelLuminance($M34)+0.05),(J34+0.05))/MIN((RelLuminance($M34)+0.05),(J34+0.05))</f>
        <v>8.1856072260943584</v>
      </c>
      <c r="L34" s="12" t="b">
        <f t="shared" si="1"/>
        <v>1</v>
      </c>
      <c r="M34" s="103" t="str">
        <f t="shared" si="3"/>
        <v>F9F9F9</v>
      </c>
      <c r="N34" s="9"/>
      <c r="O34" s="9"/>
    </row>
    <row r="35" spans="1:15" x14ac:dyDescent="0.2">
      <c r="A35" s="13" t="s">
        <v>79</v>
      </c>
      <c r="B35" s="9"/>
      <c r="C35" s="9"/>
      <c r="D35" s="9"/>
      <c r="E35" s="40" t="s">
        <v>500</v>
      </c>
      <c r="F35" s="41" t="s">
        <v>501</v>
      </c>
      <c r="G35" s="11" cm="1">
        <f t="array" ref="G35">RelLuminance(E35)</f>
        <v>4.3162109989606692E-2</v>
      </c>
      <c r="H35" s="11" cm="1">
        <f t="array" ref="H35">MAX((RelLuminance(M35)+0.05),(G35+0.05))/MIN((RelLuminance(M35)+0.05),(G35+0.05))</f>
        <v>10.705066006388872</v>
      </c>
      <c r="I35" s="12" t="b">
        <f t="shared" si="0"/>
        <v>1</v>
      </c>
      <c r="J35" s="11" cm="1">
        <f t="array" ref="J35">RelLuminance(F35)</f>
        <v>2.7659896816243076E-2</v>
      </c>
      <c r="K35" s="11" cm="1">
        <f t="array" ref="K35">MAX((RelLuminance($M35)+0.05),(J35+0.05))/MIN((RelLuminance($M35)+0.05),(J35+0.05))</f>
        <v>12.841976072837204</v>
      </c>
      <c r="L35" s="12" t="b">
        <f t="shared" si="1"/>
        <v>1</v>
      </c>
      <c r="M35" s="103" t="str">
        <f t="shared" si="3"/>
        <v>F9F9F9</v>
      </c>
      <c r="N35" s="9"/>
      <c r="O35" s="9"/>
    </row>
    <row r="36" spans="1:15" x14ac:dyDescent="0.2">
      <c r="A36" s="13" t="s">
        <v>289</v>
      </c>
      <c r="B36" s="9"/>
      <c r="C36" s="9"/>
      <c r="D36" s="9"/>
      <c r="E36" s="42" t="s">
        <v>538</v>
      </c>
      <c r="F36" s="43" t="s">
        <v>539</v>
      </c>
      <c r="G36" s="11" cm="1">
        <f t="array" ref="G36">RelLuminance(E36)</f>
        <v>0.13762783072217016</v>
      </c>
      <c r="H36" s="11" cm="1">
        <f t="array" ref="H36">MAX((RelLuminance(M36)+0.05),(G36+0.05))/MIN((RelLuminance(M36)+0.05),(G36+0.05))</f>
        <v>5.3153443862491869</v>
      </c>
      <c r="I36" s="12" t="b">
        <f t="shared" si="0"/>
        <v>1</v>
      </c>
      <c r="J36" s="11" cm="1">
        <f t="array" ref="J36">RelLuminance(F36)</f>
        <v>0.11227823488102863</v>
      </c>
      <c r="K36" s="11" cm="1">
        <f t="array" ref="K36">MAX((RelLuminance($M36)+0.05),(J36+0.05))/MIN((RelLuminance($M36)+0.05),(J36+0.05))</f>
        <v>6.1456580265638037</v>
      </c>
      <c r="L36" s="12" t="b">
        <f t="shared" si="1"/>
        <v>1</v>
      </c>
      <c r="M36" s="103" t="str">
        <f t="shared" si="3"/>
        <v>F9F9F9</v>
      </c>
      <c r="N36" s="9"/>
      <c r="O36" s="9"/>
    </row>
    <row r="37" spans="1:15" x14ac:dyDescent="0.2">
      <c r="A37" s="13" t="s">
        <v>159</v>
      </c>
      <c r="B37" s="9" t="s">
        <v>413</v>
      </c>
      <c r="C37" s="9" t="s">
        <v>414</v>
      </c>
      <c r="D37" s="9" t="s">
        <v>415</v>
      </c>
      <c r="E37" s="44" t="s">
        <v>486</v>
      </c>
      <c r="F37" s="45" t="s">
        <v>487</v>
      </c>
      <c r="G37" s="11" cm="1">
        <f t="array" ref="G37">RelLuminance(E37)</f>
        <v>4.9886608001206409E-2</v>
      </c>
      <c r="H37" s="11" cm="1">
        <f t="array" ref="H37">MAX((RelLuminance(M37)+0.05),(G37+0.05))/MIN((RelLuminance(M37)+0.05),(G37+0.05))</f>
        <v>9.9843868631634241</v>
      </c>
      <c r="I37" s="12" t="b">
        <f t="shared" si="0"/>
        <v>1</v>
      </c>
      <c r="J37" s="11" cm="1">
        <f t="array" ref="J37">RelLuminance(F37)</f>
        <v>2.0861899223784577E-2</v>
      </c>
      <c r="K37" s="11" cm="1">
        <f t="array" ref="K37">MAX((RelLuminance($M37)+0.05),(J37+0.05))/MIN((RelLuminance($M37)+0.05),(J37+0.05))</f>
        <v>14.073945909686497</v>
      </c>
      <c r="L37" s="12" t="b">
        <f t="shared" si="1"/>
        <v>1</v>
      </c>
      <c r="M37" s="103" t="str">
        <f t="shared" si="3"/>
        <v>F9F9F9</v>
      </c>
      <c r="N37" s="9"/>
      <c r="O37" s="9"/>
    </row>
    <row r="38" spans="1:15" x14ac:dyDescent="0.2">
      <c r="A38" s="13" t="s">
        <v>57</v>
      </c>
      <c r="B38" s="9"/>
      <c r="C38" s="9"/>
      <c r="D38" s="9"/>
      <c r="E38" s="46" t="s">
        <v>506</v>
      </c>
      <c r="F38" s="47" t="s">
        <v>507</v>
      </c>
      <c r="G38" s="11" cm="1">
        <f t="array" ref="G38">RelLuminance(E38)</f>
        <v>3.3269621867682647E-2</v>
      </c>
      <c r="H38" s="11" cm="1">
        <f t="array" ref="H38">MAX((RelLuminance(M38)+0.05),(G38+0.05))/MIN((RelLuminance(M38)+0.05),(G38+0.05))</f>
        <v>11.976835181477622</v>
      </c>
      <c r="I38" s="12" t="b">
        <f t="shared" si="0"/>
        <v>1</v>
      </c>
      <c r="J38" s="11" cm="1">
        <f t="array" ref="J38">RelLuminance(F38)</f>
        <v>1.5567614484264277E-2</v>
      </c>
      <c r="K38" s="11" cm="1">
        <f t="array" ref="K38">MAX((RelLuminance($M38)+0.05),(J38+0.05))/MIN((RelLuminance($M38)+0.05),(J38+0.05))</f>
        <v>15.210352619623606</v>
      </c>
      <c r="L38" s="12" t="b">
        <f t="shared" si="1"/>
        <v>1</v>
      </c>
      <c r="M38" s="103" t="str">
        <f t="shared" si="3"/>
        <v>F9F9F9</v>
      </c>
      <c r="N38" s="9"/>
      <c r="O38" s="9"/>
    </row>
    <row r="39" spans="1:15" x14ac:dyDescent="0.2">
      <c r="A39" s="13" t="s">
        <v>6</v>
      </c>
      <c r="B39" s="9" t="s">
        <v>353</v>
      </c>
      <c r="C39" s="9" t="s">
        <v>351</v>
      </c>
      <c r="D39" s="9" t="s">
        <v>352</v>
      </c>
      <c r="E39" s="48">
        <v>205878</v>
      </c>
      <c r="F39" s="49" t="s">
        <v>488</v>
      </c>
      <c r="G39" s="11" cm="1">
        <f t="array" ref="G39">RelLuminance(E39)</f>
        <v>8.6425891584498218E-2</v>
      </c>
      <c r="H39" s="11" cm="1">
        <f t="array" ref="H39">MAX((RelLuminance(M39)+0.05),(G39+0.05))/MIN((RelLuminance(M39)+0.05),(G39+0.05))</f>
        <v>7.310243863170923</v>
      </c>
      <c r="I39" s="12" t="b">
        <f t="shared" si="0"/>
        <v>1</v>
      </c>
      <c r="J39" s="11" cm="1">
        <f t="array" ref="J39">RelLuminance(F39)</f>
        <v>3.8665458163681929E-2</v>
      </c>
      <c r="K39" s="11" cm="1">
        <f t="array" ref="K39">MAX((RelLuminance($M39)+0.05),(J39+0.05))/MIN((RelLuminance($M39)+0.05),(J39+0.05))</f>
        <v>11.247971390302975</v>
      </c>
      <c r="L39" s="12" t="b">
        <f t="shared" si="1"/>
        <v>1</v>
      </c>
      <c r="M39" s="103" t="str">
        <f t="shared" si="3"/>
        <v>F9F9F9</v>
      </c>
      <c r="N39" s="9"/>
      <c r="O39" s="9"/>
    </row>
    <row r="40" spans="1:15" x14ac:dyDescent="0.2">
      <c r="A40" s="13" t="s">
        <v>1</v>
      </c>
      <c r="B40" s="9" t="s">
        <v>373</v>
      </c>
      <c r="C40" s="9" t="s">
        <v>374</v>
      </c>
      <c r="D40" s="9" t="s">
        <v>375</v>
      </c>
      <c r="E40" s="50" t="s">
        <v>489</v>
      </c>
      <c r="F40" s="51" t="s">
        <v>540</v>
      </c>
      <c r="G40" s="11" cm="1">
        <f t="array" ref="G40">RelLuminance(E40)</f>
        <v>0.11723187070913084</v>
      </c>
      <c r="H40" s="11" cm="1">
        <f t="array" ref="H40">MAX((RelLuminance(M40)+0.05),(G40+0.05))/MIN((RelLuminance(M40)+0.05),(G40+0.05))</f>
        <v>5.9636152636708317</v>
      </c>
      <c r="I40" s="12" t="b">
        <f t="shared" si="0"/>
        <v>1</v>
      </c>
      <c r="J40" s="11" cm="1">
        <f t="array" ref="J40">RelLuminance(F40)</f>
        <v>8.6867413683631808E-2</v>
      </c>
      <c r="K40" s="11" cm="1">
        <f t="array" ref="K40">MAX((RelLuminance($M40)+0.05),(J40+0.05))/MIN((RelLuminance($M40)+0.05),(J40+0.05))</f>
        <v>7.2866616668776087</v>
      </c>
      <c r="L40" s="12" t="b">
        <f t="shared" si="1"/>
        <v>1</v>
      </c>
      <c r="M40" s="103" t="str">
        <f t="shared" si="3"/>
        <v>F9F9F9</v>
      </c>
      <c r="N40" s="9"/>
      <c r="O40" s="9"/>
    </row>
    <row r="41" spans="1:15" x14ac:dyDescent="0.2">
      <c r="A41" s="13" t="s">
        <v>27</v>
      </c>
      <c r="B41" s="9" t="s">
        <v>440</v>
      </c>
      <c r="C41" s="9" t="s">
        <v>439</v>
      </c>
      <c r="D41" s="9" t="s">
        <v>441</v>
      </c>
      <c r="E41" s="52" t="s">
        <v>494</v>
      </c>
      <c r="F41" s="53" t="s">
        <v>495</v>
      </c>
      <c r="G41" s="11" cm="1">
        <f t="array" ref="G41">RelLuminance(E41)</f>
        <v>0.10322862672013233</v>
      </c>
      <c r="H41" s="11" cm="1">
        <f t="array" ref="H41">MAX((RelLuminance(M41)+0.05),(G41+0.05))/MIN((RelLuminance(M41)+0.05),(G41+0.05))</f>
        <v>6.5086176002526699</v>
      </c>
      <c r="I41" s="12" t="b">
        <f t="shared" si="0"/>
        <v>1</v>
      </c>
      <c r="J41" s="11" cm="1">
        <f t="array" ref="J41">RelLuminance(F41)</f>
        <v>6.1980976517965344E-2</v>
      </c>
      <c r="K41" s="11" cm="1">
        <f t="array" ref="K41">MAX((RelLuminance($M41)+0.05),(J41+0.05))/MIN((RelLuminance($M41)+0.05),(J41+0.05))</f>
        <v>8.9060353619366754</v>
      </c>
      <c r="L41" s="12" t="b">
        <f t="shared" si="1"/>
        <v>1</v>
      </c>
      <c r="M41" s="103" t="str">
        <f t="shared" si="3"/>
        <v>F9F9F9</v>
      </c>
      <c r="N41" s="9"/>
      <c r="O41" s="9"/>
    </row>
    <row r="42" spans="1:15" x14ac:dyDescent="0.2">
      <c r="A42" s="13" t="s">
        <v>47</v>
      </c>
      <c r="B42" s="9" t="s">
        <v>338</v>
      </c>
      <c r="C42" s="9" t="s">
        <v>336</v>
      </c>
      <c r="D42" s="9" t="s">
        <v>357</v>
      </c>
      <c r="E42" s="54" t="s">
        <v>496</v>
      </c>
      <c r="F42" s="55" t="s">
        <v>497</v>
      </c>
      <c r="G42" s="11" cm="1">
        <f t="array" ref="G42">RelLuminance(E42)</f>
        <v>3.1790096853342512E-2</v>
      </c>
      <c r="H42" s="11" cm="1">
        <f t="array" ref="H42">MAX((RelLuminance(M42)+0.05),(G42+0.05))/MIN((RelLuminance(M42)+0.05),(G42+0.05))</f>
        <v>12.193487660510613</v>
      </c>
      <c r="I42" s="12" t="b">
        <f t="shared" si="0"/>
        <v>1</v>
      </c>
      <c r="J42" s="11" cm="1">
        <f t="array" ref="J42">RelLuminance(F42)</f>
        <v>1.7287968900400408E-2</v>
      </c>
      <c r="K42" s="11" cm="1">
        <f t="array" ref="K42">MAX((RelLuminance($M42)+0.05),(J42+0.05))/MIN((RelLuminance($M42)+0.05),(J42+0.05))</f>
        <v>14.821468875207275</v>
      </c>
      <c r="L42" s="12" t="b">
        <f t="shared" si="1"/>
        <v>1</v>
      </c>
      <c r="M42" s="103" t="str">
        <f t="shared" si="3"/>
        <v>F9F9F9</v>
      </c>
      <c r="N42" s="9"/>
      <c r="O42" s="9"/>
    </row>
    <row r="43" spans="1:15" x14ac:dyDescent="0.2">
      <c r="A43" s="13" t="s">
        <v>294</v>
      </c>
      <c r="B43" s="9"/>
      <c r="C43" s="9" t="s">
        <v>457</v>
      </c>
      <c r="D43" s="9" t="s">
        <v>459</v>
      </c>
      <c r="E43" s="56" t="s">
        <v>498</v>
      </c>
      <c r="F43" s="57" t="s">
        <v>499</v>
      </c>
      <c r="G43" s="11" cm="1">
        <f t="array" ref="G43">RelLuminance(E43)</f>
        <v>4.5156363366389403E-2</v>
      </c>
      <c r="H43" s="11" cm="1">
        <f t="array" ref="H43">MAX((RelLuminance(M43)+0.05),(G43+0.05))/MIN((RelLuminance(M43)+0.05),(G43+0.05))</f>
        <v>10.480713022766302</v>
      </c>
      <c r="I43" s="12" t="b">
        <f t="shared" si="0"/>
        <v>1</v>
      </c>
      <c r="J43" s="11" cm="1">
        <f t="array" ref="J43">RelLuminance(F43)</f>
        <v>3.1603262056015768E-2</v>
      </c>
      <c r="K43" s="11" cm="1">
        <f t="array" ref="K43">MAX((RelLuminance($M43)+0.05),(J43+0.05))/MIN((RelLuminance($M43)+0.05),(J43+0.05))</f>
        <v>12.221405267458652</v>
      </c>
      <c r="L43" s="12" t="b">
        <f t="shared" si="1"/>
        <v>1</v>
      </c>
      <c r="M43" s="103" t="str">
        <f t="shared" si="3"/>
        <v>F9F9F9</v>
      </c>
      <c r="N43" s="9"/>
      <c r="O43" s="9"/>
    </row>
    <row r="44" spans="1:15" x14ac:dyDescent="0.2">
      <c r="A44" s="13" t="s">
        <v>295</v>
      </c>
      <c r="B44" s="9"/>
      <c r="C44" s="9" t="s">
        <v>457</v>
      </c>
      <c r="D44" s="9" t="s">
        <v>458</v>
      </c>
      <c r="E44" s="56" t="s">
        <v>498</v>
      </c>
      <c r="F44" s="57" t="s">
        <v>499</v>
      </c>
      <c r="G44" s="11" cm="1">
        <f t="array" ref="G44">RelLuminance(E44)</f>
        <v>4.5156363366389403E-2</v>
      </c>
      <c r="H44" s="11" cm="1">
        <f t="array" ref="H44">MAX((RelLuminance(M44)+0.05),(G44+0.05))/MIN((RelLuminance(M44)+0.05),(G44+0.05))</f>
        <v>10.480713022766302</v>
      </c>
      <c r="I44" s="12" t="b">
        <f t="shared" si="0"/>
        <v>1</v>
      </c>
      <c r="J44" s="11" cm="1">
        <f t="array" ref="J44">RelLuminance(F44)</f>
        <v>3.1603262056015768E-2</v>
      </c>
      <c r="K44" s="11" cm="1">
        <f t="array" ref="K44">MAX((RelLuminance($M44)+0.05),(J44+0.05))/MIN((RelLuminance($M44)+0.05),(J44+0.05))</f>
        <v>12.221405267458652</v>
      </c>
      <c r="L44" s="12" t="b">
        <f t="shared" si="1"/>
        <v>1</v>
      </c>
      <c r="M44" s="103" t="str">
        <f t="shared" si="3"/>
        <v>F9F9F9</v>
      </c>
      <c r="N44" s="9"/>
      <c r="O44" s="9"/>
    </row>
    <row r="45" spans="1:15" x14ac:dyDescent="0.2">
      <c r="A45" s="13" t="s">
        <v>186</v>
      </c>
      <c r="B45" s="9"/>
      <c r="C45" s="9"/>
      <c r="D45" s="9"/>
      <c r="E45" s="29"/>
      <c r="F45" s="29"/>
      <c r="G45" s="11" cm="1">
        <f t="array" ref="G45">RelLuminance(E45)</f>
        <v>0</v>
      </c>
      <c r="H45" s="11" cm="1">
        <f t="array" ref="H45">MAX((RelLuminance(M45)+0.05),(G45+0.05))/MIN((RelLuminance(M45)+0.05),(G45+0.05))</f>
        <v>19.946130734663996</v>
      </c>
      <c r="I45" s="12" t="b">
        <f t="shared" si="0"/>
        <v>1</v>
      </c>
      <c r="J45" s="11" cm="1">
        <f t="array" ref="J45">RelLuminance(F45)</f>
        <v>0</v>
      </c>
      <c r="K45" s="11" cm="1">
        <f t="array" ref="K45">MAX((RelLuminance($M45)+0.05),(J45+0.05))/MIN((RelLuminance($M45)+0.05),(J45+0.05))</f>
        <v>19.946130734663996</v>
      </c>
      <c r="L45" s="12" t="b">
        <f t="shared" si="1"/>
        <v>1</v>
      </c>
      <c r="M45" s="103" t="str">
        <f t="shared" si="3"/>
        <v>F9F9F9</v>
      </c>
      <c r="N45" s="9"/>
      <c r="O45" s="9"/>
    </row>
    <row r="46" spans="1:15" x14ac:dyDescent="0.2">
      <c r="A46" s="13" t="s">
        <v>84</v>
      </c>
      <c r="B46" s="9" t="s">
        <v>451</v>
      </c>
      <c r="C46" s="9" t="s">
        <v>452</v>
      </c>
      <c r="D46" s="58" t="s">
        <v>453</v>
      </c>
      <c r="E46" s="59" t="s">
        <v>542</v>
      </c>
      <c r="F46" s="60" t="s">
        <v>541</v>
      </c>
      <c r="G46" s="11" cm="1">
        <f t="array" ref="G46">RelLuminance(E46)</f>
        <v>0.17635288328342602</v>
      </c>
      <c r="H46" s="11" cm="1">
        <f t="array" ref="H46">MAX((RelLuminance(M46)+0.05),(G46+0.05))/MIN((RelLuminance(M46)+0.05),(G46+0.05))</f>
        <v>4.5603596267894346</v>
      </c>
      <c r="I46" s="12" t="b">
        <f t="shared" si="0"/>
        <v>1</v>
      </c>
      <c r="J46" s="11" cm="1">
        <f t="array" ref="J46">RelLuminance(F46)</f>
        <v>0.14259955246061073</v>
      </c>
      <c r="K46" s="11" cm="1">
        <f t="array" ref="K46">MAX((RelLuminance($M46)+0.05),(J46+0.05))/MIN((RelLuminance($M46)+0.05),(J46+0.05))</f>
        <v>5.3595687899857749</v>
      </c>
      <c r="L46" s="12" t="b">
        <f t="shared" si="1"/>
        <v>1</v>
      </c>
      <c r="M46" s="103" t="s">
        <v>559</v>
      </c>
      <c r="N46" s="9"/>
      <c r="O46" s="9"/>
    </row>
    <row r="47" spans="1:15" x14ac:dyDescent="0.2">
      <c r="A47" s="13" t="s">
        <v>10</v>
      </c>
      <c r="B47" s="9" t="s">
        <v>376</v>
      </c>
      <c r="C47" s="9" t="s">
        <v>377</v>
      </c>
      <c r="D47" s="9" t="s">
        <v>378</v>
      </c>
      <c r="E47" s="97" t="s">
        <v>563</v>
      </c>
      <c r="F47" s="98" t="s">
        <v>564</v>
      </c>
      <c r="G47" s="11" cm="1">
        <f t="array" ref="G47">RelLuminance(E47)</f>
        <v>0.52842809846897998</v>
      </c>
      <c r="H47" s="11" cm="1">
        <f t="array" ref="H47">MAX((RelLuminance(M47)+0.05),(G47+0.05))/MIN((RelLuminance(M47)+0.05),(G47+0.05))</f>
        <v>9.1838718613373018</v>
      </c>
      <c r="I47" s="12" t="b">
        <f t="shared" si="0"/>
        <v>1</v>
      </c>
      <c r="J47" s="11" cm="1">
        <f t="array" ref="J47">RelLuminance(F47)</f>
        <v>0.37493417461181683</v>
      </c>
      <c r="K47" s="11" cm="1">
        <f t="array" ref="K47">MAX((RelLuminance($M47)+0.05),(J47+0.05))/MIN((RelLuminance($M47)+0.05),(J47+0.05))</f>
        <v>6.7468040011672112</v>
      </c>
      <c r="L47" s="12" t="b">
        <f t="shared" si="1"/>
        <v>1</v>
      </c>
      <c r="M47" s="103" t="str">
        <f t="shared" si="3"/>
        <v>1E1E1E</v>
      </c>
      <c r="N47" s="9"/>
      <c r="O47" s="9"/>
    </row>
    <row r="48" spans="1:15" x14ac:dyDescent="0.2">
      <c r="A48" s="13" t="s">
        <v>22</v>
      </c>
      <c r="B48" s="9" t="s">
        <v>420</v>
      </c>
      <c r="C48" s="9" t="s">
        <v>417</v>
      </c>
      <c r="D48" s="9" t="s">
        <v>418</v>
      </c>
      <c r="E48" s="61" t="s">
        <v>484</v>
      </c>
      <c r="F48" s="62" t="s">
        <v>485</v>
      </c>
      <c r="G48" s="11" cm="1">
        <f t="array" ref="G48">RelLuminance(E48)</f>
        <v>0.14463040179517506</v>
      </c>
      <c r="H48" s="11" cm="1">
        <f t="array" ref="H48">MAX((RelLuminance(M48)+0.05),(G48+0.05))/MIN((RelLuminance(M48)+0.05),(G48+0.05))</f>
        <v>5.1241045979175661</v>
      </c>
      <c r="I48" s="12" t="b">
        <f t="shared" si="0"/>
        <v>1</v>
      </c>
      <c r="J48" s="11" cm="1">
        <f t="array" ref="J48">RelLuminance(F48)</f>
        <v>0.10231749637794819</v>
      </c>
      <c r="K48" s="11" cm="1">
        <f t="array" ref="K48">MAX((RelLuminance($M48)+0.05),(J48+0.05))/MIN((RelLuminance($M48)+0.05),(J48+0.05))</f>
        <v>6.5475507439970313</v>
      </c>
      <c r="L48" s="12" t="b">
        <f t="shared" si="1"/>
        <v>1</v>
      </c>
      <c r="M48" s="103" t="str">
        <f t="shared" si="3"/>
        <v>F9F9F9</v>
      </c>
      <c r="N48" s="9"/>
      <c r="O48" s="9"/>
    </row>
    <row r="49" spans="1:15" x14ac:dyDescent="0.2">
      <c r="A49" s="13" t="s">
        <v>11</v>
      </c>
      <c r="B49" s="9" t="s">
        <v>379</v>
      </c>
      <c r="C49" s="9" t="s">
        <v>380</v>
      </c>
      <c r="D49" s="9" t="s">
        <v>419</v>
      </c>
      <c r="E49" s="63">
        <v>274523</v>
      </c>
      <c r="F49" s="64" t="s">
        <v>483</v>
      </c>
      <c r="G49" s="11" cm="1">
        <f t="array" ref="G49">RelLuminance(E49)</f>
        <v>4.8089278569366907E-2</v>
      </c>
      <c r="H49" s="11" cm="1">
        <f t="array" ref="H49">MAX((RelLuminance(M49)+0.05),(G49+0.05))/MIN((RelLuminance(M49)+0.05),(G49+0.05))</f>
        <v>10.167334812519018</v>
      </c>
      <c r="I49" s="12" t="b">
        <f t="shared" si="0"/>
        <v>1</v>
      </c>
      <c r="J49" s="11" cm="1">
        <f t="array" ref="J49">RelLuminance(F49)</f>
        <v>2.1453071371103815E-2</v>
      </c>
      <c r="K49" s="11" cm="1">
        <f t="array" ref="K49">MAX((RelLuminance($M49)+0.05),(J49+0.05))/MIN((RelLuminance($M49)+0.05),(J49+0.05))</f>
        <v>13.957504101587414</v>
      </c>
      <c r="L49" s="12" t="b">
        <f t="shared" si="1"/>
        <v>1</v>
      </c>
      <c r="M49" s="103" t="str">
        <f t="shared" si="3"/>
        <v>F9F9F9</v>
      </c>
      <c r="N49" s="9"/>
      <c r="O49" s="9"/>
    </row>
    <row r="50" spans="1:15" x14ac:dyDescent="0.2">
      <c r="A50" s="13" t="s">
        <v>51</v>
      </c>
      <c r="B50" s="9" t="s">
        <v>416</v>
      </c>
      <c r="C50" s="9" t="s">
        <v>422</v>
      </c>
      <c r="D50" s="9" t="s">
        <v>421</v>
      </c>
      <c r="E50" s="95" t="s">
        <v>561</v>
      </c>
      <c r="F50" s="96" t="s">
        <v>562</v>
      </c>
      <c r="G50" s="11" cm="1">
        <f t="array" ref="G50">RelLuminance(E50)</f>
        <v>0.58372904907742185</v>
      </c>
      <c r="H50" s="11" cm="1">
        <f t="array" ref="H50">MAX((RelLuminance(M50)+0.05),(G50+0.05))/MIN((RelLuminance(M50)+0.05),(G50+0.05))</f>
        <v>10.061901205939256</v>
      </c>
      <c r="I50" s="12" t="b">
        <f t="shared" si="0"/>
        <v>1</v>
      </c>
      <c r="J50" s="11" cm="1">
        <f t="array" ref="J50">RelLuminance(F50)</f>
        <v>0.45643962304855989</v>
      </c>
      <c r="K50" s="11" cm="1">
        <f t="array" ref="K50">MAX((RelLuminance($M50)+0.05),(J50+0.05))/MIN((RelLuminance($M50)+0.05),(J50+0.05))</f>
        <v>8.0408898113571983</v>
      </c>
      <c r="L50" s="12" t="b">
        <f t="shared" si="1"/>
        <v>1</v>
      </c>
      <c r="M50" s="103" t="s">
        <v>560</v>
      </c>
      <c r="N50" s="9"/>
      <c r="O50" s="9"/>
    </row>
    <row r="51" spans="1:15" x14ac:dyDescent="0.2">
      <c r="A51" s="13" t="s">
        <v>168</v>
      </c>
      <c r="B51" s="9" t="s">
        <v>428</v>
      </c>
      <c r="C51" s="9" t="s">
        <v>430</v>
      </c>
      <c r="D51" s="9" t="s">
        <v>429</v>
      </c>
      <c r="E51" s="65" t="s">
        <v>543</v>
      </c>
      <c r="F51" s="66" t="s">
        <v>544</v>
      </c>
      <c r="G51" s="11" cm="1">
        <f t="array" ref="G51">RelLuminance(E51)</f>
        <v>0.16365618559111275</v>
      </c>
      <c r="H51" s="11" cm="1">
        <f t="array" ref="H51">MAX((RelLuminance(M51)+0.05),(G51+0.05))/MIN((RelLuminance(M51)+0.05),(G51+0.05))</f>
        <v>4.6678102671073978</v>
      </c>
      <c r="I51" s="12" t="b">
        <f t="shared" si="0"/>
        <v>1</v>
      </c>
      <c r="J51" s="11" cm="1">
        <f t="array" ref="J51">RelLuminance(F51)</f>
        <v>0.13572216898452358</v>
      </c>
      <c r="K51" s="11" cm="1">
        <f t="array" ref="K51">MAX((RelLuminance($M51)+0.05),(J51+0.05))/MIN((RelLuminance($M51)+0.05),(J51+0.05))</f>
        <v>5.3698841779965765</v>
      </c>
      <c r="L51" s="12" t="b">
        <f t="shared" si="1"/>
        <v>1</v>
      </c>
      <c r="M51" s="103" t="str">
        <f t="shared" si="3"/>
        <v>F9F9F9</v>
      </c>
      <c r="N51" s="9"/>
      <c r="O51" s="9"/>
    </row>
    <row r="52" spans="1:15" x14ac:dyDescent="0.2">
      <c r="A52" s="13" t="s">
        <v>4</v>
      </c>
      <c r="B52" s="9" t="s">
        <v>381</v>
      </c>
      <c r="C52" s="9" t="s">
        <v>382</v>
      </c>
      <c r="D52" s="9" t="s">
        <v>383</v>
      </c>
      <c r="E52" s="67" t="s">
        <v>508</v>
      </c>
      <c r="F52" s="68" t="s">
        <v>509</v>
      </c>
      <c r="G52" s="11" cm="1">
        <f t="array" ref="G52">RelLuminance(E52)</f>
        <v>0.11503704277889526</v>
      </c>
      <c r="H52" s="11" cm="1">
        <f t="array" ref="H52">MAX((RelLuminance(M52)+0.05),(G52+0.05))/MIN((RelLuminance(M52)+0.05),(G52+0.05))</f>
        <v>6.042925393842153</v>
      </c>
      <c r="I52" s="12" t="b">
        <f t="shared" si="0"/>
        <v>1</v>
      </c>
      <c r="J52" s="11" cm="1">
        <f t="array" ref="J52">RelLuminance(F52)</f>
        <v>9.2415242552586402E-2</v>
      </c>
      <c r="K52" s="11" cm="1">
        <f t="array" ref="K52">MAX((RelLuminance($M52)+0.05),(J52+0.05))/MIN((RelLuminance($M52)+0.05),(J52+0.05))</f>
        <v>7.0028075566767178</v>
      </c>
      <c r="L52" s="12" t="b">
        <f t="shared" si="1"/>
        <v>1</v>
      </c>
      <c r="M52" s="103" t="str">
        <f t="shared" si="3"/>
        <v>F9F9F9</v>
      </c>
      <c r="N52" s="9"/>
      <c r="O52" s="9"/>
    </row>
    <row r="53" spans="1:15" x14ac:dyDescent="0.2">
      <c r="A53" s="13" t="s">
        <v>235</v>
      </c>
      <c r="B53" s="9" t="s">
        <v>551</v>
      </c>
      <c r="C53" s="9" t="s">
        <v>552</v>
      </c>
      <c r="D53" s="9" t="s">
        <v>553</v>
      </c>
      <c r="E53" s="69" t="s">
        <v>525</v>
      </c>
      <c r="F53" s="70" t="s">
        <v>526</v>
      </c>
      <c r="G53" s="11" cm="1">
        <f t="array" ref="G53">RelLuminance(E53)</f>
        <v>2.4926116532785821E-2</v>
      </c>
      <c r="H53" s="11" cm="1">
        <f t="array" ref="H53">MAX((RelLuminance(M53)+0.05),(G53+0.05))/MIN((RelLuminance(M53)+0.05),(G53+0.05))</f>
        <v>13.310532867358779</v>
      </c>
      <c r="I53" s="12" t="b">
        <f t="shared" si="0"/>
        <v>1</v>
      </c>
      <c r="J53" s="11" cm="1">
        <f t="array" ref="J53">RelLuminance(F53)</f>
        <v>1.2889763965466847E-2</v>
      </c>
      <c r="K53" s="11" cm="1">
        <f t="array" ref="K53">MAX((RelLuminance($M53)+0.05),(J53+0.05))/MIN((RelLuminance($M53)+0.05),(J53+0.05))</f>
        <v>15.858010490877767</v>
      </c>
      <c r="L53" s="12" t="b">
        <f t="shared" si="1"/>
        <v>1</v>
      </c>
      <c r="M53" s="103" t="str">
        <f t="shared" si="3"/>
        <v>F9F9F9</v>
      </c>
      <c r="N53" s="9"/>
      <c r="O53" s="9"/>
    </row>
    <row r="54" spans="1:15" x14ac:dyDescent="0.2">
      <c r="A54" s="13" t="s">
        <v>74</v>
      </c>
      <c r="B54" s="9" t="s">
        <v>461</v>
      </c>
      <c r="C54" s="9" t="s">
        <v>460</v>
      </c>
      <c r="D54" s="9" t="s">
        <v>464</v>
      </c>
      <c r="E54" s="71" t="s">
        <v>517</v>
      </c>
      <c r="F54" s="72" t="s">
        <v>518</v>
      </c>
      <c r="G54" s="11" cm="1">
        <f t="array" ref="G54">RelLuminance(E54)</f>
        <v>0.15230099613989648</v>
      </c>
      <c r="H54" s="11" cm="1">
        <f t="array" ref="H54">MAX((RelLuminance(M54)+0.05),(G54+0.05))/MIN((RelLuminance(M54)+0.05),(G54+0.05))</f>
        <v>4.9298152543131124</v>
      </c>
      <c r="I54" s="12" t="b">
        <f t="shared" si="0"/>
        <v>1</v>
      </c>
      <c r="J54" s="11" cm="1">
        <f t="array" ref="J54">RelLuminance(F54)</f>
        <v>0.11444099088085805</v>
      </c>
      <c r="K54" s="11" cm="1">
        <f t="array" ref="K54">MAX((RelLuminance($M54)+0.05),(J54+0.05))/MIN((RelLuminance($M54)+0.05),(J54+0.05))</f>
        <v>6.0648292824735854</v>
      </c>
      <c r="L54" s="12" t="b">
        <f t="shared" si="1"/>
        <v>1</v>
      </c>
      <c r="M54" s="103" t="str">
        <f t="shared" si="3"/>
        <v>F9F9F9</v>
      </c>
      <c r="N54" s="9"/>
      <c r="O54" s="9"/>
    </row>
    <row r="55" spans="1:15" x14ac:dyDescent="0.2">
      <c r="A55" s="13" t="s">
        <v>7</v>
      </c>
      <c r="B55" s="9" t="s">
        <v>388</v>
      </c>
      <c r="C55" s="9" t="s">
        <v>387</v>
      </c>
      <c r="D55" s="9" t="s">
        <v>389</v>
      </c>
      <c r="E55" s="73" t="s">
        <v>481</v>
      </c>
      <c r="F55" s="74" t="s">
        <v>482</v>
      </c>
      <c r="G55" s="11" cm="1">
        <f t="array" ref="G55">RelLuminance(E55)</f>
        <v>0.18192845753461406</v>
      </c>
      <c r="H55" s="11" cm="1">
        <f t="array" ref="H55">MAX((RelLuminance(M55)+0.05),(G55+0.05))/MIN((RelLuminance(M55)+0.05),(G55+0.05))</f>
        <v>4.5272581517655865</v>
      </c>
      <c r="I55" s="12" t="b">
        <f t="shared" si="0"/>
        <v>1</v>
      </c>
      <c r="J55" s="11" cm="1">
        <f t="array" ref="J55">RelLuminance(F55)</f>
        <v>0.1284497923751447</v>
      </c>
      <c r="K55" s="11" cm="1">
        <f t="array" ref="K55">MAX((RelLuminance($M55)+0.05),(J55+0.05))/MIN((RelLuminance($M55)+0.05),(J55+0.05))</f>
        <v>5.8840079667486851</v>
      </c>
      <c r="L55" s="12" t="b">
        <f t="shared" si="1"/>
        <v>1</v>
      </c>
      <c r="M55" s="103" t="s">
        <v>558</v>
      </c>
      <c r="N55" s="9"/>
      <c r="O55" s="9"/>
    </row>
    <row r="56" spans="1:15" x14ac:dyDescent="0.2">
      <c r="A56" s="13" t="s">
        <v>32</v>
      </c>
      <c r="B56" s="9" t="s">
        <v>402</v>
      </c>
      <c r="C56" s="9" t="s">
        <v>403</v>
      </c>
      <c r="D56" s="9" t="s">
        <v>404</v>
      </c>
      <c r="E56" s="99" t="s">
        <v>565</v>
      </c>
      <c r="F56" s="100" t="s">
        <v>566</v>
      </c>
      <c r="G56" s="11" cm="1">
        <f t="array" ref="G56">RelLuminance(E56)</f>
        <v>4.8171824226889419E-2</v>
      </c>
      <c r="H56" s="11" cm="1">
        <f t="array" ref="H56">MAX((RelLuminance(M56)+0.05),(G56+0.05))/MIN((RelLuminance(M56)+0.05),(G56+0.05))</f>
        <v>10.158785828694381</v>
      </c>
      <c r="I56" s="12" t="b">
        <f t="shared" si="0"/>
        <v>1</v>
      </c>
      <c r="J56" s="11" cm="1">
        <f t="array" ref="J56">RelLuminance(F56)</f>
        <v>3.954623527673283E-2</v>
      </c>
      <c r="K56" s="11" cm="1">
        <f t="array" ref="K56">MAX((RelLuminance($M56)+0.05),(J56+0.05))/MIN((RelLuminance($M56)+0.05),(J56+0.05))</f>
        <v>11.137336300639923</v>
      </c>
      <c r="L56" s="12" t="b">
        <f t="shared" si="1"/>
        <v>1</v>
      </c>
      <c r="M56" s="103" t="s">
        <v>554</v>
      </c>
      <c r="N56" s="9"/>
      <c r="O56" s="9"/>
    </row>
    <row r="57" spans="1:15" x14ac:dyDescent="0.2">
      <c r="A57" s="13" t="s">
        <v>66</v>
      </c>
      <c r="B57" s="9" t="s">
        <v>354</v>
      </c>
      <c r="C57" s="9" t="s">
        <v>355</v>
      </c>
      <c r="D57" s="9" t="s">
        <v>356</v>
      </c>
      <c r="E57" s="75" t="s">
        <v>510</v>
      </c>
      <c r="F57" s="76">
        <v>233960</v>
      </c>
      <c r="G57" s="11" cm="1">
        <f t="array" ref="G57">RelLuminance(E57)</f>
        <v>5.451822968873947E-2</v>
      </c>
      <c r="H57" s="11" cm="1">
        <f t="array" ref="H57">MAX((RelLuminance(M57)+0.05),(G57+0.05))/MIN((RelLuminance(M57)+0.05),(G57+0.05))</f>
        <v>9.5419386618318036</v>
      </c>
      <c r="I57" s="12" t="b">
        <f t="shared" si="0"/>
        <v>1</v>
      </c>
      <c r="J57" s="11" cm="1">
        <f t="array" ref="J57">RelLuminance(F57)</f>
        <v>4.1281079125009744E-2</v>
      </c>
      <c r="K57" s="11" cm="1">
        <f t="array" ref="K57">MAX((RelLuminance($M57)+0.05),(J57+0.05))/MIN((RelLuminance($M57)+0.05),(J57+0.05))</f>
        <v>10.925665497089328</v>
      </c>
      <c r="L57" s="12" t="b">
        <f t="shared" si="1"/>
        <v>1</v>
      </c>
      <c r="M57" s="103" t="str">
        <f t="shared" si="3"/>
        <v>F9F9F9</v>
      </c>
      <c r="N57" s="9"/>
      <c r="O57" s="9"/>
    </row>
    <row r="58" spans="1:15" x14ac:dyDescent="0.2">
      <c r="A58" s="13" t="s">
        <v>101</v>
      </c>
      <c r="B58" s="9" t="s">
        <v>442</v>
      </c>
      <c r="C58" s="9" t="s">
        <v>443</v>
      </c>
      <c r="D58" s="9" t="s">
        <v>444</v>
      </c>
      <c r="E58" s="77" t="s">
        <v>511</v>
      </c>
      <c r="F58" s="78" t="s">
        <v>512</v>
      </c>
      <c r="G58" s="11" cm="1">
        <f t="array" ref="G58">RelLuminance(E58)</f>
        <v>0.44475429782956627</v>
      </c>
      <c r="H58" s="11" cm="1">
        <f t="array" ref="H58">MAX((RelLuminance(M58)+0.05),(G58+0.05))/MIN((RelLuminance(M58)+0.05),(G58+0.05))</f>
        <v>7.8553584899131961</v>
      </c>
      <c r="I58" s="12" t="b">
        <f t="shared" si="0"/>
        <v>1</v>
      </c>
      <c r="J58" s="11" cm="1">
        <f t="array" ref="J58">RelLuminance(F58)</f>
        <v>0.31234819922652979</v>
      </c>
      <c r="K58" s="11" cm="1">
        <f t="array" ref="K58">MAX((RelLuminance($M58)+0.05),(J58+0.05))/MIN((RelLuminance($M58)+0.05),(J58+0.05))</f>
        <v>5.7531081904404244</v>
      </c>
      <c r="L58" s="12" t="b">
        <f t="shared" si="1"/>
        <v>1</v>
      </c>
      <c r="M58" s="103" t="str">
        <f t="shared" si="3"/>
        <v>1E1E1E</v>
      </c>
      <c r="N58" s="9"/>
      <c r="O58" s="9"/>
    </row>
    <row r="59" spans="1:15" x14ac:dyDescent="0.2">
      <c r="A59" s="13" t="s">
        <v>8</v>
      </c>
      <c r="B59" s="9" t="s">
        <v>390</v>
      </c>
      <c r="C59" s="9" t="s">
        <v>340</v>
      </c>
      <c r="D59" s="9" t="s">
        <v>343</v>
      </c>
      <c r="E59" s="38" t="s">
        <v>479</v>
      </c>
      <c r="F59" s="39" t="s">
        <v>480</v>
      </c>
      <c r="G59" s="11" cm="1">
        <f t="array" ref="G59">RelLuminance(E59)</f>
        <v>9.8954561567066016E-2</v>
      </c>
      <c r="H59" s="11" cm="1">
        <f t="array" ref="H59">MAX((RelLuminance(M59)+0.05),(G59+0.05))/MIN((RelLuminance(M59)+0.05),(G59+0.05))</f>
        <v>6.695374255350802</v>
      </c>
      <c r="I59" s="12" t="b">
        <f t="shared" si="0"/>
        <v>1</v>
      </c>
      <c r="J59" s="11" cm="1">
        <f t="array" ref="J59">RelLuminance(F59)</f>
        <v>7.1836597968438054E-2</v>
      </c>
      <c r="K59" s="11" cm="1">
        <f t="array" ref="K59">MAX((RelLuminance($M59)+0.05),(J59+0.05))/MIN((RelLuminance($M59)+0.05),(J59+0.05))</f>
        <v>8.1856072260943584</v>
      </c>
      <c r="L59" s="12" t="b">
        <f t="shared" si="1"/>
        <v>1</v>
      </c>
      <c r="M59" s="103" t="str">
        <f t="shared" si="3"/>
        <v>F9F9F9</v>
      </c>
      <c r="N59" s="9"/>
      <c r="O59" s="9"/>
    </row>
    <row r="60" spans="1:15" x14ac:dyDescent="0.2">
      <c r="A60" s="13" t="s">
        <v>5</v>
      </c>
      <c r="B60" s="9" t="s">
        <v>384</v>
      </c>
      <c r="C60" s="9" t="s">
        <v>385</v>
      </c>
      <c r="D60" s="9" t="s">
        <v>386</v>
      </c>
      <c r="E60" s="79" t="s">
        <v>534</v>
      </c>
      <c r="F60" s="80" t="s">
        <v>535</v>
      </c>
      <c r="G60" s="11" cm="1">
        <f t="array" ref="G60">RelLuminance(E60)</f>
        <v>9.7082232545512848E-2</v>
      </c>
      <c r="H60" s="11" cm="1">
        <f t="array" ref="H60">MAX((RelLuminance(M60)+0.05),(G60+0.05))/MIN((RelLuminance(M60)+0.05),(G60+0.05))</f>
        <v>6.7806051041861579</v>
      </c>
      <c r="I60" s="12" t="b">
        <f t="shared" si="0"/>
        <v>1</v>
      </c>
      <c r="J60" s="11" cm="1">
        <f t="array" ref="J60">RelLuminance(F60)</f>
        <v>7.071149299360889E-2</v>
      </c>
      <c r="K60" s="11" cm="1">
        <f t="array" ref="K60">MAX((RelLuminance($M60)+0.05),(J60+0.05))/MIN((RelLuminance($M60)+0.05),(J60+0.05))</f>
        <v>8.2619020939953298</v>
      </c>
      <c r="L60" s="12" t="b">
        <f t="shared" si="1"/>
        <v>1</v>
      </c>
      <c r="M60" s="103" t="str">
        <f t="shared" si="3"/>
        <v>F9F9F9</v>
      </c>
      <c r="N60" s="9"/>
      <c r="O60" s="9"/>
    </row>
    <row r="61" spans="1:15" x14ac:dyDescent="0.2">
      <c r="A61" s="13" t="s">
        <v>37</v>
      </c>
      <c r="B61" s="9" t="s">
        <v>423</v>
      </c>
      <c r="C61" s="9" t="s">
        <v>425</v>
      </c>
      <c r="D61" s="9" t="s">
        <v>424</v>
      </c>
      <c r="E61" s="81" t="s">
        <v>502</v>
      </c>
      <c r="F61" s="82" t="s">
        <v>503</v>
      </c>
      <c r="G61" s="11" cm="1">
        <f t="array" ref="G61">RelLuminance(E61)</f>
        <v>0.29608642327316148</v>
      </c>
      <c r="H61" s="11" cm="1">
        <f t="array" ref="H61">MAX((RelLuminance(M61)+0.05),(G61+0.05))/MIN((RelLuminance(M61)+0.05),(G61+0.05))</f>
        <v>6.8386992749700575</v>
      </c>
      <c r="I61" s="12" t="b">
        <f t="shared" si="0"/>
        <v>1</v>
      </c>
      <c r="J61" s="11" cm="1">
        <f t="array" ref="J61">RelLuminance(F61)</f>
        <v>0.20637181180932962</v>
      </c>
      <c r="K61" s="11" cm="1">
        <f t="array" ref="K61">MAX((RelLuminance($M61)+0.05),(J61+0.05))/MIN((RelLuminance($M61)+0.05),(J61+0.05))</f>
        <v>5.0659303735801435</v>
      </c>
      <c r="L61" s="12" t="b">
        <f t="shared" si="1"/>
        <v>1</v>
      </c>
      <c r="M61" s="104" t="s">
        <v>572</v>
      </c>
      <c r="N61" s="9"/>
      <c r="O61" s="9"/>
    </row>
    <row r="62" spans="1:15" x14ac:dyDescent="0.2">
      <c r="A62" s="9" t="s">
        <v>582</v>
      </c>
      <c r="B62" s="9"/>
      <c r="C62" s="9" t="s">
        <v>583</v>
      </c>
      <c r="D62" s="9" t="s">
        <v>584</v>
      </c>
      <c r="E62" s="29"/>
      <c r="F62" s="29"/>
      <c r="G62" s="11" cm="1">
        <f t="array" ref="G62">RelLuminance(E62)</f>
        <v>0</v>
      </c>
      <c r="H62" s="11" cm="1">
        <f t="array" ref="H62">MAX((RelLuminance(M62)+0.05),(G62+0.05))/MIN((RelLuminance(M62)+0.05),(G62+0.05))</f>
        <v>19.946130734663996</v>
      </c>
      <c r="I62" s="12" t="b">
        <f t="shared" si="0"/>
        <v>1</v>
      </c>
      <c r="J62" s="11" cm="1">
        <f t="array" ref="J62">RelLuminance(F62)</f>
        <v>0</v>
      </c>
      <c r="K62" s="11" cm="1">
        <f t="array" ref="K62">MAX((RelLuminance($M62)+0.05),(J62+0.05))/MIN((RelLuminance($M62)+0.05),(J62+0.05))</f>
        <v>19.946130734663996</v>
      </c>
      <c r="L62" s="12" t="b">
        <f t="shared" si="1"/>
        <v>1</v>
      </c>
      <c r="M62" s="103" t="str">
        <f t="shared" si="3"/>
        <v>F9F9F9</v>
      </c>
      <c r="N62" s="9"/>
      <c r="O62" s="9"/>
    </row>
    <row r="63" spans="1:15" x14ac:dyDescent="0.2">
      <c r="A63" s="13" t="s">
        <v>2</v>
      </c>
      <c r="B63" s="9" t="s">
        <v>341</v>
      </c>
      <c r="C63" s="9" t="s">
        <v>435</v>
      </c>
      <c r="D63" s="9" t="s">
        <v>342</v>
      </c>
      <c r="E63" s="83" t="s">
        <v>490</v>
      </c>
      <c r="F63" s="84" t="s">
        <v>491</v>
      </c>
      <c r="G63" s="11" cm="1">
        <f t="array" ref="G63">RelLuminance(E63)</f>
        <v>3.1006789315027386E-2</v>
      </c>
      <c r="H63" s="11" cm="1">
        <f t="array" ref="H63">MAX((RelLuminance(M63)+0.05),(G63+0.05))/MIN((RelLuminance(M63)+0.05),(G63+0.05))</f>
        <v>12.311394454294113</v>
      </c>
      <c r="I63" s="12" t="b">
        <f t="shared" si="0"/>
        <v>1</v>
      </c>
      <c r="J63" s="11" cm="1">
        <f t="array" ref="J63">RelLuminance(F63)</f>
        <v>1.2232340248918141E-2</v>
      </c>
      <c r="K63" s="11" cm="1">
        <f t="array" ref="K63">MAX((RelLuminance($M63)+0.05),(J63+0.05))/MIN((RelLuminance($M63)+0.05),(J63+0.05))</f>
        <v>16.025534838383923</v>
      </c>
      <c r="L63" s="12" t="b">
        <f t="shared" si="1"/>
        <v>1</v>
      </c>
      <c r="M63" s="103" t="str">
        <f t="shared" si="3"/>
        <v>F9F9F9</v>
      </c>
      <c r="N63" s="9"/>
      <c r="O63" s="9"/>
    </row>
    <row r="64" spans="1:15" x14ac:dyDescent="0.2">
      <c r="A64" s="13" t="s">
        <v>29</v>
      </c>
      <c r="B64" s="9" t="s">
        <v>426</v>
      </c>
      <c r="C64" s="9" t="s">
        <v>427</v>
      </c>
      <c r="D64" s="9" t="s">
        <v>437</v>
      </c>
      <c r="E64" s="85" t="s">
        <v>492</v>
      </c>
      <c r="F64" s="86" t="s">
        <v>493</v>
      </c>
      <c r="G64" s="11" cm="1">
        <f t="array" ref="G64">RelLuminance(E64)</f>
        <v>0.14489709090358288</v>
      </c>
      <c r="H64" s="11" cm="1">
        <f t="array" ref="H64">MAX((RelLuminance(M64)+0.05),(G64+0.05))/MIN((RelLuminance(M64)+0.05),(G64+0.05))</f>
        <v>5.1170929853774743</v>
      </c>
      <c r="I64" s="12" t="b">
        <f t="shared" si="0"/>
        <v>1</v>
      </c>
      <c r="J64" s="11" cm="1">
        <f t="array" ref="J64">RelLuminance(F64)</f>
        <v>0.10915227386967055</v>
      </c>
      <c r="K64" s="11" cm="1">
        <f t="array" ref="K64">MAX((RelLuminance($M64)+0.05),(J64+0.05))/MIN((RelLuminance($M64)+0.05),(J64+0.05))</f>
        <v>6.2663668729602433</v>
      </c>
      <c r="L64" s="12" t="b">
        <f t="shared" si="1"/>
        <v>1</v>
      </c>
      <c r="M64" s="103" t="str">
        <f t="shared" si="3"/>
        <v>F9F9F9</v>
      </c>
      <c r="N64" s="9"/>
      <c r="O64" s="9"/>
    </row>
    <row r="65" spans="1:15" x14ac:dyDescent="0.2">
      <c r="A65" s="13" t="s">
        <v>76</v>
      </c>
      <c r="B65" s="9" t="s">
        <v>461</v>
      </c>
      <c r="C65" s="9" t="s">
        <v>462</v>
      </c>
      <c r="D65" s="9" t="s">
        <v>463</v>
      </c>
      <c r="E65" s="71" t="s">
        <v>517</v>
      </c>
      <c r="F65" s="72" t="s">
        <v>518</v>
      </c>
      <c r="G65" s="11" cm="1">
        <f t="array" ref="G65">RelLuminance(E65)</f>
        <v>0.15230099613989648</v>
      </c>
      <c r="H65" s="11" cm="1">
        <f t="array" ref="H65">MAX((RelLuminance(M65)+0.05),(G65+0.05))/MIN((RelLuminance(M65)+0.05),(G65+0.05))</f>
        <v>4.9298152543131124</v>
      </c>
      <c r="I65" s="12" t="b">
        <f t="shared" si="0"/>
        <v>1</v>
      </c>
      <c r="J65" s="11" cm="1">
        <f t="array" ref="J65">RelLuminance(F65)</f>
        <v>0.11444099088085805</v>
      </c>
      <c r="K65" s="11" cm="1">
        <f t="array" ref="K65">MAX((RelLuminance($M65)+0.05),(J65+0.05))/MIN((RelLuminance($M65)+0.05),(J65+0.05))</f>
        <v>6.0648292824735854</v>
      </c>
      <c r="L65" s="12" t="b">
        <f t="shared" si="1"/>
        <v>1</v>
      </c>
      <c r="M65" s="103" t="str">
        <f t="shared" si="3"/>
        <v>F9F9F9</v>
      </c>
      <c r="N65" s="9"/>
      <c r="O65" s="9"/>
    </row>
    <row r="66" spans="1:15" x14ac:dyDescent="0.2">
      <c r="A66" s="13" t="s">
        <v>118</v>
      </c>
      <c r="B66" s="9" t="s">
        <v>436</v>
      </c>
      <c r="C66" s="9" t="s">
        <v>434</v>
      </c>
      <c r="D66" s="9" t="s">
        <v>438</v>
      </c>
      <c r="E66" s="87" t="s">
        <v>521</v>
      </c>
      <c r="F66" s="88" t="s">
        <v>522</v>
      </c>
      <c r="G66" s="11" cm="1">
        <f t="array" ref="G66">RelLuminance(E66)</f>
        <v>1.5757225682563044E-2</v>
      </c>
      <c r="H66" s="11" cm="1">
        <f t="array" ref="H66">MAX((RelLuminance(M66)+0.05),(G66+0.05))/MIN((RelLuminance(M66)+0.05),(G66+0.05))</f>
        <v>15.166493512782994</v>
      </c>
      <c r="I66" s="12" t="b">
        <f t="shared" si="0"/>
        <v>1</v>
      </c>
      <c r="J66" s="11" cm="1">
        <f t="array" ref="J66">RelLuminance(F66)</f>
        <v>1.1998544160810195E-2</v>
      </c>
      <c r="K66" s="11" cm="1">
        <f t="array" ref="K66">MAX((RelLuminance($M66)+0.05),(J66+0.05))/MIN((RelLuminance($M66)+0.05),(J66+0.05))</f>
        <v>16.08596702119992</v>
      </c>
      <c r="L66" s="12" t="b">
        <f t="shared" si="1"/>
        <v>1</v>
      </c>
      <c r="M66" s="103" t="str">
        <f t="shared" si="3"/>
        <v>F9F9F9</v>
      </c>
      <c r="N66" s="9"/>
      <c r="O66" s="9"/>
    </row>
    <row r="67" spans="1:15" x14ac:dyDescent="0.2">
      <c r="A67" s="13" t="s">
        <v>49</v>
      </c>
      <c r="B67" s="9" t="s">
        <v>409</v>
      </c>
      <c r="C67" s="9" t="s">
        <v>410</v>
      </c>
      <c r="D67" s="9" t="s">
        <v>412</v>
      </c>
      <c r="E67" s="89" t="s">
        <v>519</v>
      </c>
      <c r="F67" s="90" t="s">
        <v>520</v>
      </c>
      <c r="G67" s="11" cm="1">
        <f t="array" ref="G67">RelLuminance(E67)</f>
        <v>3.3209242840091878E-2</v>
      </c>
      <c r="H67" s="11" cm="1">
        <f t="array" ref="H67">MAX((RelLuminance(M67)+0.05),(G67+0.05))/MIN((RelLuminance(M67)+0.05),(G67+0.05))</f>
        <v>11.985525918674478</v>
      </c>
      <c r="I67" s="12" t="b">
        <f t="shared" si="0"/>
        <v>1</v>
      </c>
      <c r="J67" s="11" cm="1">
        <f t="array" ref="J67">RelLuminance(F67)</f>
        <v>1.9382352756188916E-2</v>
      </c>
      <c r="K67" s="11" cm="1">
        <f t="array" ref="K67">MAX((RelLuminance($M67)+0.05),(J67+0.05))/MIN((RelLuminance($M67)+0.05),(J67+0.05))</f>
        <v>14.374066273563198</v>
      </c>
      <c r="L67" s="12" t="b">
        <f t="shared" si="1"/>
        <v>1</v>
      </c>
      <c r="M67" s="103" t="str">
        <f t="shared" si="3"/>
        <v>F9F9F9</v>
      </c>
      <c r="N67" s="9"/>
      <c r="O67" s="9"/>
    </row>
    <row r="68" spans="1:15" x14ac:dyDescent="0.2">
      <c r="A68" s="13" t="s">
        <v>39</v>
      </c>
      <c r="B68" s="9" t="s">
        <v>409</v>
      </c>
      <c r="C68" s="9" t="s">
        <v>410</v>
      </c>
      <c r="D68" s="9" t="s">
        <v>412</v>
      </c>
      <c r="E68" s="89" t="s">
        <v>519</v>
      </c>
      <c r="F68" s="90" t="s">
        <v>520</v>
      </c>
      <c r="G68" s="11" cm="1">
        <f t="array" ref="G68">RelLuminance(E68)</f>
        <v>3.3209242840091878E-2</v>
      </c>
      <c r="H68" s="11" cm="1">
        <f t="array" ref="H68">MAX((RelLuminance(M68)+0.05),(G68+0.05))/MIN((RelLuminance(M68)+0.05),(G68+0.05))</f>
        <v>11.985525918674478</v>
      </c>
      <c r="I68" s="12" t="b">
        <f t="shared" si="0"/>
        <v>1</v>
      </c>
      <c r="J68" s="11" cm="1">
        <f t="array" ref="J68">RelLuminance(F68)</f>
        <v>1.9382352756188916E-2</v>
      </c>
      <c r="K68" s="11" cm="1">
        <f t="array" ref="K68">MAX((RelLuminance($M68)+0.05),(J68+0.05))/MIN((RelLuminance($M68)+0.05),(J68+0.05))</f>
        <v>14.374066273563198</v>
      </c>
      <c r="L68" s="12" t="b">
        <f t="shared" si="1"/>
        <v>1</v>
      </c>
      <c r="M68" s="103" t="str">
        <f t="shared" si="3"/>
        <v>F9F9F9</v>
      </c>
      <c r="N68" s="9"/>
      <c r="O68" s="9"/>
    </row>
    <row r="69" spans="1:15" x14ac:dyDescent="0.2">
      <c r="A69" s="13" t="s">
        <v>25</v>
      </c>
      <c r="B69" s="9" t="s">
        <v>409</v>
      </c>
      <c r="C69" s="9" t="s">
        <v>410</v>
      </c>
      <c r="D69" s="9" t="s">
        <v>411</v>
      </c>
      <c r="E69" s="89" t="s">
        <v>519</v>
      </c>
      <c r="F69" s="90" t="s">
        <v>520</v>
      </c>
      <c r="G69" s="11" cm="1">
        <f t="array" ref="G69">RelLuminance(E69)</f>
        <v>3.3209242840091878E-2</v>
      </c>
      <c r="H69" s="11" cm="1">
        <f t="array" ref="H69">MAX((RelLuminance(M69)+0.05),(G69+0.05))/MIN((RelLuminance(M69)+0.05),(G69+0.05))</f>
        <v>11.985525918674478</v>
      </c>
      <c r="I69" s="12" t="b">
        <f t="shared" ref="I69:I72" si="7">H69&gt;=4.5</f>
        <v>1</v>
      </c>
      <c r="J69" s="11" cm="1">
        <f t="array" ref="J69">RelLuminance(F69)</f>
        <v>1.9382352756188916E-2</v>
      </c>
      <c r="K69" s="11" cm="1">
        <f t="array" ref="K69">MAX((RelLuminance($M69)+0.05),(J69+0.05))/MIN((RelLuminance($M69)+0.05),(J69+0.05))</f>
        <v>14.374066273563198</v>
      </c>
      <c r="L69" s="12" t="b">
        <f t="shared" ref="L69:L72" si="8">K69&gt;=4.5</f>
        <v>1</v>
      </c>
      <c r="M69" s="103" t="str">
        <f t="shared" si="3"/>
        <v>F9F9F9</v>
      </c>
      <c r="N69" s="9"/>
      <c r="O69" s="9"/>
    </row>
    <row r="70" spans="1:15" x14ac:dyDescent="0.2">
      <c r="A70" s="13" t="s">
        <v>109</v>
      </c>
      <c r="B70" s="9" t="s">
        <v>431</v>
      </c>
      <c r="C70" s="9" t="s">
        <v>432</v>
      </c>
      <c r="D70" s="9" t="s">
        <v>433</v>
      </c>
      <c r="E70" s="91" t="s">
        <v>515</v>
      </c>
      <c r="F70" s="92" t="s">
        <v>516</v>
      </c>
      <c r="G70" s="11" cm="1">
        <f t="array" ref="G70">RelLuminance(E70)</f>
        <v>9.3295578159095546E-2</v>
      </c>
      <c r="H70" s="11" cm="1">
        <f t="array" ref="H70">MAX((RelLuminance(M70)+0.05),(G70+0.05))/MIN((RelLuminance(M70)+0.05),(G70+0.05))</f>
        <v>6.9597858464685407</v>
      </c>
      <c r="I70" s="12" t="b">
        <f t="shared" si="7"/>
        <v>1</v>
      </c>
      <c r="J70" s="11" cm="1">
        <f t="array" ref="J70">RelLuminance(F70)</f>
        <v>4.4427700082331156E-2</v>
      </c>
      <c r="K70" s="11" cm="1">
        <f t="array" ref="K70">MAX((RelLuminance($M70)+0.05),(J70+0.05))/MIN((RelLuminance($M70)+0.05),(J70+0.05))</f>
        <v>10.561588769647592</v>
      </c>
      <c r="L70" s="12" t="b">
        <f t="shared" si="8"/>
        <v>1</v>
      </c>
      <c r="M70" s="103" t="str">
        <f t="shared" si="3"/>
        <v>F9F9F9</v>
      </c>
      <c r="N70" s="9"/>
      <c r="O70" s="9"/>
    </row>
    <row r="71" spans="1:15" x14ac:dyDescent="0.2">
      <c r="A71" s="13" t="s">
        <v>291</v>
      </c>
      <c r="B71" s="9"/>
      <c r="C71" s="9" t="s">
        <v>550</v>
      </c>
      <c r="D71" s="9"/>
      <c r="E71" s="29"/>
      <c r="F71" s="29"/>
      <c r="G71" s="11" cm="1">
        <f t="array" ref="G71">RelLuminance(E71)</f>
        <v>0</v>
      </c>
      <c r="H71" s="11" cm="1">
        <f t="array" ref="H71">MAX((RelLuminance(M71)+0.05),(G71+0.05))/MIN((RelLuminance(M71)+0.05),(G71+0.05))</f>
        <v>19.946130734663996</v>
      </c>
      <c r="I71" s="12" t="b">
        <f t="shared" si="7"/>
        <v>1</v>
      </c>
      <c r="J71" s="11" cm="1">
        <f t="array" ref="J71">RelLuminance(F71)</f>
        <v>0</v>
      </c>
      <c r="K71" s="11" cm="1">
        <f t="array" ref="K71">MAX((RelLuminance($M71)+0.05),(J71+0.05))/MIN((RelLuminance($M71)+0.05),(J71+0.05))</f>
        <v>19.946130734663996</v>
      </c>
      <c r="L71" s="12" t="b">
        <f t="shared" si="8"/>
        <v>1</v>
      </c>
      <c r="M71" s="103" t="str">
        <f t="shared" si="3"/>
        <v>F9F9F9</v>
      </c>
      <c r="N71" s="9"/>
      <c r="O71" s="9"/>
    </row>
    <row r="72" spans="1:15" x14ac:dyDescent="0.2">
      <c r="A72" s="13" t="s">
        <v>224</v>
      </c>
      <c r="B72" s="9" t="s">
        <v>454</v>
      </c>
      <c r="C72" s="9" t="s">
        <v>455</v>
      </c>
      <c r="D72" s="9" t="s">
        <v>456</v>
      </c>
      <c r="E72" s="93" t="s">
        <v>513</v>
      </c>
      <c r="F72" s="94" t="s">
        <v>514</v>
      </c>
      <c r="G72" s="11" cm="1">
        <f t="array" ref="G72">RelLuminance(E72)</f>
        <v>0.33127407505105538</v>
      </c>
      <c r="H72" s="11" cm="1">
        <f t="array" ref="H72">MAX((RelLuminance(M72)+0.05),(G72+0.05))/MIN((RelLuminance(M72)+0.05),(G72+0.05))</f>
        <v>7.5340104819960834</v>
      </c>
      <c r="I72" s="12" t="b">
        <f t="shared" si="7"/>
        <v>1</v>
      </c>
      <c r="J72" s="11" cm="1">
        <f t="array" ref="J72">RelLuminance(F72)</f>
        <v>0.21889569799480102</v>
      </c>
      <c r="K72" s="11" cm="1">
        <f t="array" ref="K72">MAX((RelLuminance($M72)+0.05),(J72+0.05))/MIN((RelLuminance($M72)+0.05),(J72+0.05))</f>
        <v>5.3134035063496148</v>
      </c>
      <c r="L72" s="12" t="b">
        <f t="shared" si="8"/>
        <v>1</v>
      </c>
      <c r="M72" s="103" t="str">
        <f>"020202"</f>
        <v>020202</v>
      </c>
      <c r="N72" s="9"/>
      <c r="O72" s="9"/>
    </row>
  </sheetData>
  <autoFilter ref="A1:L72" xr:uid="{061EB199-F9F4-D64D-9664-1C64BF0C07BD}"/>
  <phoneticPr fontId="3" type="noConversion"/>
  <conditionalFormatting sqref="I1:I1048576">
    <cfRule type="containsText" dxfId="2" priority="2" operator="containsText" text="FALSE">
      <formula>NOT(ISERROR(SEARCH("FALSE",I1)))</formula>
    </cfRule>
  </conditionalFormatting>
  <conditionalFormatting sqref="L2:L72">
    <cfRule type="containsText" dxfId="1" priority="1" operator="containsText" text="FALSE">
      <formula>NOT(ISERROR(SEARCH("FALSE",L2)))</formula>
    </cfRule>
  </conditionalFormatting>
  <hyperlinks>
    <hyperlink ref="B30" r:id="rId1" xr:uid="{6AA1DF91-ADDC-4548-B041-A3452687054F}"/>
  </hyperlinks>
  <pageMargins left="0.7" right="0.7" top="0.75" bottom="0.75" header="0.3" footer="0.3"/>
  <pageSetup paperSize="9" orientation="portrait" horizontalDpi="0" verticalDpi="0"/>
  <ignoredErrors>
    <ignoredError sqref="E61:F72 E48:F49 E52:F55 E12:F18 E6:F6 E31:F45 E60 E57:F59 F56 M61 E20:F29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lorCellsByHex">
                <anchor moveWithCells="1" sizeWithCells="1">
                  <from>
                    <xdr:col>13</xdr:col>
                    <xdr:colOff>406400</xdr:colOff>
                    <xdr:row>4</xdr:row>
                    <xdr:rowOff>50800</xdr:rowOff>
                  </from>
                  <to>
                    <xdr:col>15</xdr:col>
                    <xdr:colOff>254000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EA951-3537-B64F-B8A6-0642941AD69D}">
  <sheetPr codeName="Sheet5"/>
  <dimension ref="A1:C69"/>
  <sheetViews>
    <sheetView topLeftCell="A58" zoomScale="116" workbookViewId="0">
      <selection activeCell="A71" sqref="A71"/>
    </sheetView>
  </sheetViews>
  <sheetFormatPr baseColWidth="10" defaultRowHeight="16" x14ac:dyDescent="0.2"/>
  <cols>
    <col min="1" max="1" width="35.5" bestFit="1" customWidth="1"/>
    <col min="2" max="2" width="13.83203125" style="1" bestFit="1" customWidth="1"/>
    <col min="3" max="3" width="16" style="1" bestFit="1" customWidth="1"/>
  </cols>
  <sheetData>
    <row r="1" spans="1:3" x14ac:dyDescent="0.2">
      <c r="A1" t="s">
        <v>15</v>
      </c>
      <c r="B1" s="1" t="s">
        <v>527</v>
      </c>
      <c r="C1" s="1" t="s">
        <v>530</v>
      </c>
    </row>
    <row r="2" spans="1:3" x14ac:dyDescent="0.2">
      <c r="A2" t="str" cm="1">
        <f t="array" ref="A2:A62">_xlfn._xlws.SORT(_xlfn.UNIQUE(_xlfn._xlws.FILTER(_xlfn.VSTACK(Metro!B4:B514,'Regional - Numbered'!C2:C501,'Regional - Inter Town Link'!D2:D483),_xlfn.VSTACK(Metro!B4:B514,'Regional - Numbered'!C2:C501,'Regional - Inter Town Link'!D2:D483)&lt;&gt;"")))</f>
        <v>Benalla Bus Lines</v>
      </c>
      <c r="B2" s="1" t="str">
        <f>IF(IFERROR(INDEX('Operator Details'!E:E,MATCH('Operator Data Check'!A2,'Operator Details'!A:A,0))&lt;&gt;"",FALSE),"Yes","No")</f>
        <v>Yes</v>
      </c>
      <c r="C2" s="1" t="str">
        <f>IF(B2="No","N/A",IF(INDEX('Operator Details'!H:H,MATCH('Operator Data Check'!A2,'Operator Details'!A:A,0))&gt;4.5,"Yes","No"))</f>
        <v>Yes</v>
      </c>
    </row>
    <row r="3" spans="1:3" x14ac:dyDescent="0.2">
      <c r="A3" t="str">
        <v>BusBiz (Swan Hill)</v>
      </c>
      <c r="B3" s="1" t="str">
        <f>IF(IFERROR(INDEX('Operator Details'!E:E,MATCH('Operator Data Check'!A3,'Operator Details'!A:A,0))&lt;&gt;"",FALSE),"Yes","No")</f>
        <v>Yes</v>
      </c>
      <c r="C3" s="1" t="str">
        <f>IF(B3="No","N/A",IF(INDEX('Operator Details'!H:H,MATCH('Operator Data Check'!A3,'Operator Details'!A:A,0))&gt;4.5,"Yes","No"))</f>
        <v>Yes</v>
      </c>
    </row>
    <row r="4" spans="1:3" x14ac:dyDescent="0.2">
      <c r="A4" t="str">
        <v>Canns Bus Lines</v>
      </c>
      <c r="B4" s="1" t="str">
        <f>IF(IFERROR(INDEX('Operator Details'!E:E,MATCH('Operator Data Check'!A4,'Operator Details'!A:A,0))&lt;&gt;"",FALSE),"Yes","No")</f>
        <v>Yes</v>
      </c>
      <c r="C4" s="1" t="str">
        <f>IF(B4="No","N/A",IF(INDEX('Operator Details'!H:H,MATCH('Operator Data Check'!A4,'Operator Details'!A:A,0))&gt;4.5,"Yes","No"))</f>
        <v>Yes</v>
      </c>
    </row>
    <row r="5" spans="1:3" x14ac:dyDescent="0.2">
      <c r="A5" t="str">
        <v>CDC Ballarat</v>
      </c>
      <c r="B5" s="1" t="str">
        <f>IF(IFERROR(INDEX('Operator Details'!E:E,MATCH('Operator Data Check'!A5,'Operator Details'!A:A,0))&lt;&gt;"",FALSE),"Yes","No")</f>
        <v>Yes</v>
      </c>
      <c r="C5" s="1" t="str">
        <f>IF(B5="No","N/A",IF(INDEX('Operator Details'!H:H,MATCH('Operator Data Check'!A5,'Operator Details'!A:A,0))&gt;4.5,"Yes","No"))</f>
        <v>Yes</v>
      </c>
    </row>
    <row r="6" spans="1:3" x14ac:dyDescent="0.2">
      <c r="A6" t="str">
        <v>CDC Geelong</v>
      </c>
      <c r="B6" s="1" t="str">
        <f>IF(IFERROR(INDEX('Operator Details'!E:E,MATCH('Operator Data Check'!A6,'Operator Details'!A:A,0))&lt;&gt;"",FALSE),"Yes","No")</f>
        <v>Yes</v>
      </c>
      <c r="C6" s="1" t="str">
        <f>IF(B6="No","N/A",IF(INDEX('Operator Details'!H:H,MATCH('Operator Data Check'!A6,'Operator Details'!A:A,0))&gt;4.5,"Yes","No"))</f>
        <v>Yes</v>
      </c>
    </row>
    <row r="7" spans="1:3" x14ac:dyDescent="0.2">
      <c r="A7" t="str">
        <v>CDC Melbourne</v>
      </c>
      <c r="B7" s="1" t="str">
        <f>IF(IFERROR(INDEX('Operator Details'!E:E,MATCH('Operator Data Check'!A7,'Operator Details'!A:A,0))&lt;&gt;"",FALSE),"Yes","No")</f>
        <v>Yes</v>
      </c>
      <c r="C7" s="1" t="str">
        <f>IF(B7="No","N/A",IF(INDEX('Operator Details'!H:H,MATCH('Operator Data Check'!A7,'Operator Details'!A:A,0))&gt;4.5,"Yes","No"))</f>
        <v>Yes</v>
      </c>
    </row>
    <row r="8" spans="1:3" x14ac:dyDescent="0.2">
      <c r="A8" t="str">
        <v>CDC Mildura</v>
      </c>
      <c r="B8" s="1" t="str">
        <f>IF(IFERROR(INDEX('Operator Details'!E:E,MATCH('Operator Data Check'!A8,'Operator Details'!A:A,0))&lt;&gt;"",FALSE),"Yes","No")</f>
        <v>Yes</v>
      </c>
      <c r="C8" s="1" t="str">
        <f>IF(B8="No","N/A",IF(INDEX('Operator Details'!H:H,MATCH('Operator Data Check'!A8,'Operator Details'!A:A,0))&gt;4.5,"Yes","No"))</f>
        <v>Yes</v>
      </c>
    </row>
    <row r="9" spans="1:3" x14ac:dyDescent="0.2">
      <c r="A9" t="str">
        <v>Christians Bus Company (Ararat)</v>
      </c>
      <c r="B9" s="1" t="str">
        <f>IF(IFERROR(INDEX('Operator Details'!E:E,MATCH('Operator Data Check'!A9,'Operator Details'!A:A,0))&lt;&gt;"",FALSE),"Yes","No")</f>
        <v>Yes</v>
      </c>
      <c r="C9" s="1" t="str">
        <f>IF(B9="No","N/A",IF(INDEX('Operator Details'!H:H,MATCH('Operator Data Check'!A9,'Operator Details'!A:A,0))&gt;4.5,"Yes","No"))</f>
        <v>Yes</v>
      </c>
    </row>
    <row r="10" spans="1:3" x14ac:dyDescent="0.2">
      <c r="A10" t="str">
        <v>Christians Bus Company (Bacchus Marsh)</v>
      </c>
      <c r="B10" s="1" t="str">
        <f>IF(IFERROR(INDEX('Operator Details'!E:E,MATCH('Operator Data Check'!A10,'Operator Details'!A:A,0))&lt;&gt;"",FALSE),"Yes","No")</f>
        <v>Yes</v>
      </c>
      <c r="C10" s="1" t="str">
        <f>IF(B10="No","N/A",IF(INDEX('Operator Details'!H:H,MATCH('Operator Data Check'!A10,'Operator Details'!A:A,0))&gt;4.5,"Yes","No"))</f>
        <v>Yes</v>
      </c>
    </row>
    <row r="11" spans="1:3" x14ac:dyDescent="0.2">
      <c r="A11" t="str">
        <v>Christians Bus Company (Ballarat)</v>
      </c>
      <c r="B11" s="1" t="str">
        <f>IF(IFERROR(INDEX('Operator Details'!E:E,MATCH('Operator Data Check'!A11,'Operator Details'!A:A,0))&lt;&gt;"",FALSE),"Yes","No")</f>
        <v>Yes</v>
      </c>
      <c r="C11" s="1" t="str">
        <f>IF(B11="No","N/A",IF(INDEX('Operator Details'!H:H,MATCH('Operator Data Check'!A11,'Operator Details'!A:A,0))&gt;4.5,"Yes","No"))</f>
        <v>Yes</v>
      </c>
    </row>
    <row r="12" spans="1:3" x14ac:dyDescent="0.2">
      <c r="A12" t="str">
        <v>Christians Bus Company (Bendigo)</v>
      </c>
      <c r="B12" s="1" t="str">
        <f>IF(IFERROR(INDEX('Operator Details'!E:E,MATCH('Operator Data Check'!A12,'Operator Details'!A:A,0))&lt;&gt;"",FALSE),"Yes","No")</f>
        <v>Yes</v>
      </c>
      <c r="C12" s="1" t="str">
        <f>IF(B12="No","N/A",IF(INDEX('Operator Details'!H:H,MATCH('Operator Data Check'!A12,'Operator Details'!A:A,0))&gt;4.5,"Yes","No"))</f>
        <v>Yes</v>
      </c>
    </row>
    <row r="13" spans="1:3" x14ac:dyDescent="0.2">
      <c r="A13" t="str">
        <v>Christians Bus Company (Colac)</v>
      </c>
      <c r="B13" s="1" t="str">
        <f>IF(IFERROR(INDEX('Operator Details'!E:E,MATCH('Operator Data Check'!A13,'Operator Details'!A:A,0))&lt;&gt;"",FALSE),"Yes","No")</f>
        <v>Yes</v>
      </c>
      <c r="C13" s="1" t="str">
        <f>IF(B13="No","N/A",IF(INDEX('Operator Details'!H:H,MATCH('Operator Data Check'!A13,'Operator Details'!A:A,0))&gt;4.5,"Yes","No"))</f>
        <v>Yes</v>
      </c>
    </row>
    <row r="14" spans="1:3" x14ac:dyDescent="0.2">
      <c r="A14" t="str">
        <v>Coles Coaches</v>
      </c>
      <c r="B14" s="1" t="str">
        <f>IF(IFERROR(INDEX('Operator Details'!E:E,MATCH('Operator Data Check'!A14,'Operator Details'!A:A,0))&lt;&gt;"",FALSE),"Yes","No")</f>
        <v>Yes</v>
      </c>
      <c r="C14" s="1" t="str">
        <f>IF(B14="No","N/A",IF(INDEX('Operator Details'!H:H,MATCH('Operator Data Check'!A14,'Operator Details'!A:A,0))&gt;4.5,"Yes","No"))</f>
        <v>Yes</v>
      </c>
    </row>
    <row r="15" spans="1:3" x14ac:dyDescent="0.2">
      <c r="A15" t="str">
        <v>Corryong Bus &amp; Freight</v>
      </c>
      <c r="B15" s="1" t="str">
        <f>IF(IFERROR(INDEX('Operator Details'!E:E,MATCH('Operator Data Check'!A15,'Operator Details'!A:A,0))&lt;&gt;"",FALSE),"Yes","No")</f>
        <v>No</v>
      </c>
      <c r="C15" s="1" t="str">
        <f>IF(B15="No","N/A",IF(INDEX('Operator Details'!H:H,MATCH('Operator Data Check'!A15,'Operator Details'!A:A,0))&gt;4.5,"Yes","No"))</f>
        <v>N/A</v>
      </c>
    </row>
    <row r="16" spans="1:3" x14ac:dyDescent="0.2">
      <c r="A16" t="str">
        <v>Cranbourne Transit</v>
      </c>
      <c r="B16" s="1" t="str">
        <f>IF(IFERROR(INDEX('Operator Details'!E:E,MATCH('Operator Data Check'!A16,'Operator Details'!A:A,0))&lt;&gt;"",FALSE),"Yes","No")</f>
        <v>Yes</v>
      </c>
      <c r="C16" s="1" t="str">
        <f>IF(B16="No","N/A",IF(INDEX('Operator Details'!H:H,MATCH('Operator Data Check'!A16,'Operator Details'!A:A,0))&gt;4.5,"Yes","No"))</f>
        <v>Yes</v>
      </c>
    </row>
    <row r="17" spans="1:3" x14ac:dyDescent="0.2">
      <c r="A17" t="str">
        <v>Dysons (Bairnsdale)</v>
      </c>
      <c r="B17" s="1" t="str">
        <f>IF(IFERROR(INDEX('Operator Details'!E:E,MATCH('Operator Data Check'!A17,'Operator Details'!A:A,0))&lt;&gt;"",FALSE),"Yes","No")</f>
        <v>Yes</v>
      </c>
      <c r="C17" s="1" t="str">
        <f>IF(B17="No","N/A",IF(INDEX('Operator Details'!H:H,MATCH('Operator Data Check'!A17,'Operator Details'!A:A,0))&gt;4.5,"Yes","No"))</f>
        <v>Yes</v>
      </c>
    </row>
    <row r="18" spans="1:3" x14ac:dyDescent="0.2">
      <c r="A18" t="str">
        <v>Dysons (Kyneton)</v>
      </c>
      <c r="B18" s="1" t="str">
        <f>IF(IFERROR(INDEX('Operator Details'!E:E,MATCH('Operator Data Check'!A18,'Operator Details'!A:A,0))&lt;&gt;"",FALSE),"Yes","No")</f>
        <v>Yes</v>
      </c>
      <c r="C18" s="1" t="str">
        <f>IF(B18="No","N/A",IF(INDEX('Operator Details'!H:H,MATCH('Operator Data Check'!A18,'Operator Details'!A:A,0))&gt;4.5,"Yes","No"))</f>
        <v>Yes</v>
      </c>
    </row>
    <row r="19" spans="1:3" x14ac:dyDescent="0.2">
      <c r="A19" t="str">
        <v>Dysons (Moama)</v>
      </c>
      <c r="B19" s="1" t="str">
        <f>IF(IFERROR(INDEX('Operator Details'!E:E,MATCH('Operator Data Check'!A19,'Operator Details'!A:A,0))&lt;&gt;"",FALSE),"Yes","No")</f>
        <v>Yes</v>
      </c>
      <c r="C19" s="1" t="str">
        <f>IF(B19="No","N/A",IF(INDEX('Operator Details'!H:H,MATCH('Operator Data Check'!A19,'Operator Details'!A:A,0))&gt;4.5,"Yes","No"))</f>
        <v>Yes</v>
      </c>
    </row>
    <row r="20" spans="1:3" x14ac:dyDescent="0.2">
      <c r="A20" t="str">
        <v>Dysons (Sale)</v>
      </c>
      <c r="B20" s="1" t="str">
        <f>IF(IFERROR(INDEX('Operator Details'!E:E,MATCH('Operator Data Check'!A20,'Operator Details'!A:A,0))&lt;&gt;"",FALSE),"Yes","No")</f>
        <v>Yes</v>
      </c>
      <c r="C20" s="1" t="str">
        <f>IF(B20="No","N/A",IF(INDEX('Operator Details'!H:H,MATCH('Operator Data Check'!A20,'Operator Details'!A:A,0))&gt;4.5,"Yes","No"))</f>
        <v>Yes</v>
      </c>
    </row>
    <row r="21" spans="1:3" x14ac:dyDescent="0.2">
      <c r="A21" t="str">
        <v>Dysons (Shepparton)</v>
      </c>
      <c r="B21" s="1" t="str">
        <f>IF(IFERROR(INDEX('Operator Details'!E:E,MATCH('Operator Data Check'!A21,'Operator Details'!A:A,0))&lt;&gt;"",FALSE),"Yes","No")</f>
        <v>Yes</v>
      </c>
      <c r="C21" s="1" t="str">
        <f>IF(B21="No","N/A",IF(INDEX('Operator Details'!H:H,MATCH('Operator Data Check'!A21,'Operator Details'!A:A,0))&gt;4.5,"Yes","No"))</f>
        <v>Yes</v>
      </c>
    </row>
    <row r="22" spans="1:3" x14ac:dyDescent="0.2">
      <c r="A22" t="str">
        <v>Dysons (Wangaratta)</v>
      </c>
      <c r="B22" s="1" t="str">
        <f>IF(IFERROR(INDEX('Operator Details'!E:E,MATCH('Operator Data Check'!A22,'Operator Details'!A:A,0))&lt;&gt;"",FALSE),"Yes","No")</f>
        <v>Yes</v>
      </c>
      <c r="C22" s="1" t="str">
        <f>IF(B22="No","N/A",IF(INDEX('Operator Details'!H:H,MATCH('Operator Data Check'!A22,'Operator Details'!A:A,0))&gt;4.5,"Yes","No"))</f>
        <v>Yes</v>
      </c>
    </row>
    <row r="23" spans="1:3" x14ac:dyDescent="0.2">
      <c r="A23" t="str">
        <v>Dysons (Wodonga)</v>
      </c>
      <c r="B23" s="1" t="str">
        <f>IF(IFERROR(INDEX('Operator Details'!E:E,MATCH('Operator Data Check'!A23,'Operator Details'!A:A,0))&lt;&gt;"",FALSE),"Yes","No")</f>
        <v>Yes</v>
      </c>
      <c r="C23" s="1" t="str">
        <f>IF(B23="No","N/A",IF(INDEX('Operator Details'!H:H,MATCH('Operator Data Check'!A23,'Operator Details'!A:A,0))&gt;4.5,"Yes","No"))</f>
        <v>Yes</v>
      </c>
    </row>
    <row r="24" spans="1:3" x14ac:dyDescent="0.2">
      <c r="A24" t="str">
        <v>Fallons Bus Service (Alexandra)</v>
      </c>
      <c r="B24" s="1" t="str">
        <f>IF(IFERROR(INDEX('Operator Details'!E:E,MATCH('Operator Data Check'!A24,'Operator Details'!A:A,0))&lt;&gt;"",FALSE),"Yes","No")</f>
        <v>Yes</v>
      </c>
      <c r="C24" s="1" t="str">
        <f>IF(B24="No","N/A",IF(INDEX('Operator Details'!H:H,MATCH('Operator Data Check'!A24,'Operator Details'!A:A,0))&gt;4.5,"Yes","No"))</f>
        <v>Yes</v>
      </c>
    </row>
    <row r="25" spans="1:3" x14ac:dyDescent="0.2">
      <c r="A25" t="str">
        <v>Fallons Bus Service (Cobram)</v>
      </c>
      <c r="B25" s="1" t="str">
        <f>IF(IFERROR(INDEX('Operator Details'!E:E,MATCH('Operator Data Check'!A25,'Operator Details'!A:A,0))&lt;&gt;"",FALSE),"Yes","No")</f>
        <v>Yes</v>
      </c>
      <c r="C25" s="1" t="str">
        <f>IF(B25="No","N/A",IF(INDEX('Operator Details'!H:H,MATCH('Operator Data Check'!A25,'Operator Details'!A:A,0))&gt;4.5,"Yes","No"))</f>
        <v>Yes</v>
      </c>
    </row>
    <row r="26" spans="1:3" x14ac:dyDescent="0.2">
      <c r="A26" t="str">
        <v>Fallons Bus Service (Mansfield)</v>
      </c>
      <c r="B26" s="1" t="str">
        <f>IF(IFERROR(INDEX('Operator Details'!E:E,MATCH('Operator Data Check'!A26,'Operator Details'!A:A,0))&lt;&gt;"",FALSE),"Yes","No")</f>
        <v>Yes</v>
      </c>
      <c r="C26" s="1" t="str">
        <f>IF(B26="No","N/A",IF(INDEX('Operator Details'!H:H,MATCH('Operator Data Check'!A26,'Operator Details'!A:A,0))&gt;4.5,"Yes","No"))</f>
        <v>Yes</v>
      </c>
    </row>
    <row r="27" spans="1:3" x14ac:dyDescent="0.2">
      <c r="A27" t="str">
        <v>Fallons Bus Service (Wangaratta)</v>
      </c>
      <c r="B27" s="1" t="str">
        <f>IF(IFERROR(INDEX('Operator Details'!E:E,MATCH('Operator Data Check'!A27,'Operator Details'!A:A,0))&lt;&gt;"",FALSE),"Yes","No")</f>
        <v>Yes</v>
      </c>
      <c r="C27" s="1" t="str">
        <f>IF(B27="No","N/A",IF(INDEX('Operator Details'!H:H,MATCH('Operator Data Check'!A27,'Operator Details'!A:A,0))&gt;4.5,"Yes","No"))</f>
        <v>Yes</v>
      </c>
    </row>
    <row r="28" spans="1:3" x14ac:dyDescent="0.2">
      <c r="A28" t="str">
        <v>Falls Creek Coach Service</v>
      </c>
      <c r="B28" s="1" t="str">
        <f>IF(IFERROR(INDEX('Operator Details'!E:E,MATCH('Operator Data Check'!A28,'Operator Details'!A:A,0))&lt;&gt;"",FALSE),"Yes","No")</f>
        <v>Yes</v>
      </c>
      <c r="C28" s="1" t="str">
        <f>IF(B28="No","N/A",IF(INDEX('Operator Details'!H:H,MATCH('Operator Data Check'!A28,'Operator Details'!A:A,0))&gt;4.5,"Yes","No"))</f>
        <v>Yes</v>
      </c>
    </row>
    <row r="29" spans="1:3" x14ac:dyDescent="0.2">
      <c r="A29" t="str">
        <v>Gillicks Bus Lines</v>
      </c>
      <c r="B29" s="1" t="str">
        <f>IF(IFERROR(INDEX('Operator Details'!E:E,MATCH('Operator Data Check'!A29,'Operator Details'!A:A,0))&lt;&gt;"",FALSE),"Yes","No")</f>
        <v>Yes</v>
      </c>
      <c r="C29" s="1" t="str">
        <f>IF(B29="No","N/A",IF(INDEX('Operator Details'!H:H,MATCH('Operator Data Check'!A29,'Operator Details'!A:A,0))&gt;4.5,"Yes","No"))</f>
        <v>Yes</v>
      </c>
    </row>
    <row r="30" spans="1:3" x14ac:dyDescent="0.2">
      <c r="A30" t="str">
        <v>Gisborne Transit</v>
      </c>
      <c r="B30" s="1" t="str">
        <f>IF(IFERROR(INDEX('Operator Details'!E:E,MATCH('Operator Data Check'!A30,'Operator Details'!A:A,0))&lt;&gt;"",FALSE),"Yes","No")</f>
        <v>Yes</v>
      </c>
      <c r="C30" s="1" t="str">
        <f>IF(B30="No","N/A",IF(INDEX('Operator Details'!H:H,MATCH('Operator Data Check'!A30,'Operator Details'!A:A,0))&gt;4.5,"Yes","No"))</f>
        <v>Yes</v>
      </c>
    </row>
    <row r="31" spans="1:3" x14ac:dyDescent="0.2">
      <c r="A31" t="str">
        <v>Harley's Bus Lines</v>
      </c>
      <c r="B31" s="1" t="str">
        <f>IF(IFERROR(INDEX('Operator Details'!E:E,MATCH('Operator Data Check'!A31,'Operator Details'!A:A,0))&lt;&gt;"",FALSE),"Yes","No")</f>
        <v>Yes</v>
      </c>
      <c r="C31" s="1" t="str">
        <f>IF(B31="No","N/A",IF(INDEX('Operator Details'!H:H,MATCH('Operator Data Check'!A31,'Operator Details'!A:A,0))&gt;4.5,"Yes","No"))</f>
        <v>Yes</v>
      </c>
    </row>
    <row r="32" spans="1:3" x14ac:dyDescent="0.2">
      <c r="A32" t="str">
        <v>Hutchinson Buslines</v>
      </c>
      <c r="B32" s="1" t="str">
        <f>IF(IFERROR(INDEX('Operator Details'!E:E,MATCH('Operator Data Check'!A32,'Operator Details'!A:A,0))&lt;&gt;"",FALSE),"Yes","No")</f>
        <v>Yes</v>
      </c>
      <c r="C32" s="1" t="str">
        <f>IF(B32="No","N/A",IF(INDEX('Operator Details'!H:H,MATCH('Operator Data Check'!A32,'Operator Details'!A:A,0))&gt;4.5,"Yes","No"))</f>
        <v>Yes</v>
      </c>
    </row>
    <row r="33" spans="1:3" x14ac:dyDescent="0.2">
      <c r="A33" t="str">
        <v>Jacobson Coach Tours</v>
      </c>
      <c r="B33" s="1" t="str">
        <f>IF(IFERROR(INDEX('Operator Details'!E:E,MATCH('Operator Data Check'!A33,'Operator Details'!A:A,0))&lt;&gt;"",FALSE),"Yes","No")</f>
        <v>Yes</v>
      </c>
      <c r="C33" s="1" t="str">
        <f>IF(B33="No","N/A",IF(INDEX('Operator Details'!H:H,MATCH('Operator Data Check'!A33,'Operator Details'!A:A,0))&gt;4.5,"Yes","No"))</f>
        <v>Yes</v>
      </c>
    </row>
    <row r="34" spans="1:3" x14ac:dyDescent="0.2">
      <c r="A34" t="str">
        <v>Kinetic</v>
      </c>
      <c r="B34" s="1" t="str">
        <f>IF(IFERROR(INDEX('Operator Details'!E:E,MATCH('Operator Data Check'!A34,'Operator Details'!A:A,0))&lt;&gt;"",FALSE),"Yes","No")</f>
        <v>Yes</v>
      </c>
      <c r="C34" s="1" t="str">
        <f>IF(B34="No","N/A",IF(INDEX('Operator Details'!H:H,MATCH('Operator Data Check'!A34,'Operator Details'!A:A,0))&gt;4.5,"Yes","No"))</f>
        <v>Yes</v>
      </c>
    </row>
    <row r="35" spans="1:3" x14ac:dyDescent="0.2">
      <c r="A35" t="str">
        <v>Latrobe Valley Bus Lines</v>
      </c>
      <c r="B35" s="1" t="str">
        <f>IF(IFERROR(INDEX('Operator Details'!E:E,MATCH('Operator Data Check'!A35,'Operator Details'!A:A,0))&lt;&gt;"",FALSE),"Yes","No")</f>
        <v>Yes</v>
      </c>
      <c r="C35" s="1" t="str">
        <f>IF(B35="No","N/A",IF(INDEX('Operator Details'!H:H,MATCH('Operator Data Check'!A35,'Operator Details'!A:A,0))&gt;4.5,"Yes","No"))</f>
        <v>Yes</v>
      </c>
    </row>
    <row r="36" spans="1:3" x14ac:dyDescent="0.2">
      <c r="A36" t="str">
        <v>Littles Coaches (Ballarat)</v>
      </c>
      <c r="B36" s="1" t="str">
        <f>IF(IFERROR(INDEX('Operator Details'!E:E,MATCH('Operator Data Check'!A36,'Operator Details'!A:A,0))&lt;&gt;"",FALSE),"Yes","No")</f>
        <v>Yes</v>
      </c>
      <c r="C36" s="1" t="str">
        <f>IF(B36="No","N/A",IF(INDEX('Operator Details'!H:H,MATCH('Operator Data Check'!A36,'Operator Details'!A:A,0))&gt;4.5,"Yes","No"))</f>
        <v>Yes</v>
      </c>
    </row>
    <row r="37" spans="1:3" x14ac:dyDescent="0.2">
      <c r="A37" t="str">
        <v>Littles Coaches (Daylesford)</v>
      </c>
      <c r="B37" s="1" t="str">
        <f>IF(IFERROR(INDEX('Operator Details'!E:E,MATCH('Operator Data Check'!A37,'Operator Details'!A:A,0))&lt;&gt;"",FALSE),"Yes","No")</f>
        <v>Yes</v>
      </c>
      <c r="C37" s="1" t="str">
        <f>IF(B37="No","N/A",IF(INDEX('Operator Details'!H:H,MATCH('Operator Data Check'!A37,'Operator Details'!A:A,0))&gt;4.5,"Yes","No"))</f>
        <v>Yes</v>
      </c>
    </row>
    <row r="38" spans="1:3" x14ac:dyDescent="0.2">
      <c r="A38" t="str">
        <v>Martin's Albury</v>
      </c>
      <c r="B38" s="1" t="str">
        <f>IF(IFERROR(INDEX('Operator Details'!E:E,MATCH('Operator Data Check'!A38,'Operator Details'!A:A,0))&lt;&gt;"",FALSE),"Yes","No")</f>
        <v>Yes</v>
      </c>
      <c r="C38" s="1" t="str">
        <f>IF(B38="No","N/A",IF(INDEX('Operator Details'!H:H,MATCH('Operator Data Check'!A38,'Operator Details'!A:A,0))&gt;4.5,"Yes","No"))</f>
        <v>Yes</v>
      </c>
    </row>
    <row r="39" spans="1:3" x14ac:dyDescent="0.2">
      <c r="A39" t="str">
        <v>Martyrs Bus Service</v>
      </c>
      <c r="B39" s="1" t="str">
        <f>IF(IFERROR(INDEX('Operator Details'!E:E,MATCH('Operator Data Check'!A39,'Operator Details'!A:A,0))&lt;&gt;"",FALSE),"Yes","No")</f>
        <v>Yes</v>
      </c>
      <c r="C39" s="1" t="str">
        <f>IF(B39="No","N/A",IF(INDEX('Operator Details'!H:H,MATCH('Operator Data Check'!A39,'Operator Details'!A:A,0))&gt;4.5,"Yes","No"))</f>
        <v>Yes</v>
      </c>
    </row>
    <row r="40" spans="1:3" x14ac:dyDescent="0.2">
      <c r="A40" t="str">
        <v>McHarrys Bus Lines</v>
      </c>
      <c r="B40" s="1" t="str">
        <f>IF(IFERROR(INDEX('Operator Details'!E:E,MATCH('Operator Data Check'!A40,'Operator Details'!A:A,0))&lt;&gt;"",FALSE),"Yes","No")</f>
        <v>Yes</v>
      </c>
      <c r="C40" s="1" t="str">
        <f>IF(B40="No","N/A",IF(INDEX('Operator Details'!H:H,MATCH('Operator Data Check'!A40,'Operator Details'!A:A,0))&gt;4.5,"Yes","No"))</f>
        <v>Yes</v>
      </c>
    </row>
    <row r="41" spans="1:3" x14ac:dyDescent="0.2">
      <c r="A41" t="str">
        <v>McKenzies Tourist Service</v>
      </c>
      <c r="B41" s="1" t="str">
        <f>IF(IFERROR(INDEX('Operator Details'!E:E,MATCH('Operator Data Check'!A41,'Operator Details'!A:A,0))&lt;&gt;"",FALSE),"Yes","No")</f>
        <v>Yes</v>
      </c>
      <c r="C41" s="1" t="str">
        <f>IF(B41="No","N/A",IF(INDEX('Operator Details'!H:H,MATCH('Operator Data Check'!A41,'Operator Details'!A:A,0))&gt;4.5,"Yes","No"))</f>
        <v>Yes</v>
      </c>
    </row>
    <row r="42" spans="1:3" x14ac:dyDescent="0.2">
      <c r="A42" t="str">
        <v>Newton's Bus Service</v>
      </c>
      <c r="B42" s="1" t="str">
        <f>IF(IFERROR(INDEX('Operator Details'!E:E,MATCH('Operator Data Check'!A42,'Operator Details'!A:A,0))&lt;&gt;"",FALSE),"Yes","No")</f>
        <v>Yes</v>
      </c>
      <c r="C42" s="1" t="str">
        <f>IF(B42="No","N/A",IF(INDEX('Operator Details'!H:H,MATCH('Operator Data Check'!A42,'Operator Details'!A:A,0))&gt;4.5,"Yes","No"))</f>
        <v>Yes</v>
      </c>
    </row>
    <row r="43" spans="1:3" x14ac:dyDescent="0.2">
      <c r="A43" t="str">
        <v>Organ's Coaches</v>
      </c>
      <c r="B43" s="1" t="str">
        <f>IF(IFERROR(INDEX('Operator Details'!E:E,MATCH('Operator Data Check'!A43,'Operator Details'!A:A,0))&lt;&gt;"",FALSE),"Yes","No")</f>
        <v>Yes</v>
      </c>
      <c r="C43" s="1" t="str">
        <f>IF(B43="No","N/A",IF(INDEX('Operator Details'!H:H,MATCH('Operator Data Check'!A43,'Operator Details'!A:A,0))&gt;4.5,"Yes","No"))</f>
        <v>Yes</v>
      </c>
    </row>
    <row r="44" spans="1:3" x14ac:dyDescent="0.2">
      <c r="A44" t="str">
        <v>Ouyen &amp; District Freight</v>
      </c>
      <c r="B44" s="1" t="str">
        <f>IF(IFERROR(INDEX('Operator Details'!E:E,MATCH('Operator Data Check'!A44,'Operator Details'!A:A,0))&lt;&gt;"",FALSE),"Yes","No")</f>
        <v>No</v>
      </c>
      <c r="C44" s="1" t="str">
        <f>IF(B44="No","N/A",IF(INDEX('Operator Details'!H:H,MATCH('Operator Data Check'!A44,'Operator Details'!A:A,0))&gt;4.5,"Yes","No"))</f>
        <v>N/A</v>
      </c>
    </row>
    <row r="45" spans="1:3" x14ac:dyDescent="0.2">
      <c r="A45" t="str">
        <v>Popes Bus Lines</v>
      </c>
      <c r="B45" s="1" t="str">
        <f>IF(IFERROR(INDEX('Operator Details'!E:E,MATCH('Operator Data Check'!A45,'Operator Details'!A:A,0))&lt;&gt;"",FALSE),"Yes","No")</f>
        <v>Yes</v>
      </c>
      <c r="C45" s="1" t="str">
        <f>IF(B45="No","N/A",IF(INDEX('Operator Details'!H:H,MATCH('Operator Data Check'!A45,'Operator Details'!A:A,0))&gt;4.5,"Yes","No"))</f>
        <v>Yes</v>
      </c>
    </row>
    <row r="46" spans="1:3" x14ac:dyDescent="0.2">
      <c r="A46" t="str">
        <v>Portland Bus Lines</v>
      </c>
      <c r="B46" s="1" t="str">
        <f>IF(IFERROR(INDEX('Operator Details'!E:E,MATCH('Operator Data Check'!A46,'Operator Details'!A:A,0))&lt;&gt;"",FALSE),"Yes","No")</f>
        <v>Yes</v>
      </c>
      <c r="C46" s="1" t="str">
        <f>IF(B46="No","N/A",IF(INDEX('Operator Details'!H:H,MATCH('Operator Data Check'!A46,'Operator Details'!A:A,0))&gt;4.5,"Yes","No"))</f>
        <v>Yes</v>
      </c>
    </row>
    <row r="47" spans="1:3" x14ac:dyDescent="0.2">
      <c r="A47" t="str">
        <v>Sandlant Buses</v>
      </c>
      <c r="B47" s="1" t="str">
        <f>IF(IFERROR(INDEX('Operator Details'!E:E,MATCH('Operator Data Check'!A47,'Operator Details'!A:A,0))&lt;&gt;"",FALSE),"Yes","No")</f>
        <v>Yes</v>
      </c>
      <c r="C47" s="1" t="str">
        <f>IF(B47="No","N/A",IF(INDEX('Operator Details'!H:H,MATCH('Operator Data Check'!A47,'Operator Details'!A:A,0))&gt;4.5,"Yes","No"))</f>
        <v>Yes</v>
      </c>
    </row>
    <row r="48" spans="1:3" x14ac:dyDescent="0.2">
      <c r="A48" t="str">
        <v>Seymour Coaches</v>
      </c>
      <c r="B48" s="1" t="str">
        <f>IF(IFERROR(INDEX('Operator Details'!E:E,MATCH('Operator Data Check'!A48,'Operator Details'!A:A,0))&lt;&gt;"",FALSE),"Yes","No")</f>
        <v>Yes</v>
      </c>
      <c r="C48" s="1" t="str">
        <f>IF(B48="No","N/A",IF(INDEX('Operator Details'!H:H,MATCH('Operator Data Check'!A48,'Operator Details'!A:A,0))&gt;4.5,"Yes","No"))</f>
        <v>Yes</v>
      </c>
    </row>
    <row r="49" spans="1:3" x14ac:dyDescent="0.2">
      <c r="A49" t="str">
        <v>South Coast Bus</v>
      </c>
      <c r="B49" s="1" t="str">
        <f>IF(IFERROR(INDEX('Operator Details'!E:E,MATCH('Operator Data Check'!A49,'Operator Details'!A:A,0))&lt;&gt;"",FALSE),"Yes","No")</f>
        <v>Yes</v>
      </c>
      <c r="C49" s="1" t="str">
        <f>IF(B49="No","N/A",IF(INDEX('Operator Details'!H:H,MATCH('Operator Data Check'!A49,'Operator Details'!A:A,0))&gt;4.5,"Yes","No"))</f>
        <v>Yes</v>
      </c>
    </row>
    <row r="50" spans="1:3" x14ac:dyDescent="0.2">
      <c r="A50" t="str">
        <v>Sunbury Bus Service</v>
      </c>
      <c r="B50" s="1" t="str">
        <f>IF(IFERROR(INDEX('Operator Details'!E:E,MATCH('Operator Data Check'!A50,'Operator Details'!A:A,0))&lt;&gt;"",FALSE),"Yes","No")</f>
        <v>Yes</v>
      </c>
      <c r="C50" s="1" t="str">
        <f>IF(B50="No","N/A",IF(INDEX('Operator Details'!H:H,MATCH('Operator Data Check'!A50,'Operator Details'!A:A,0))&gt;4.5,"Yes","No"))</f>
        <v>Yes</v>
      </c>
    </row>
    <row r="51" spans="1:3" x14ac:dyDescent="0.2">
      <c r="A51" t="str">
        <v>Transit Systems</v>
      </c>
      <c r="B51" s="1" t="str">
        <f>IF(IFERROR(INDEX('Operator Details'!E:E,MATCH('Operator Data Check'!A51,'Operator Details'!A:A,0))&lt;&gt;"",FALSE),"Yes","No")</f>
        <v>Yes</v>
      </c>
      <c r="C51" s="1" t="str">
        <f>IF(B51="No","N/A",IF(INDEX('Operator Details'!H:H,MATCH('Operator Data Check'!A51,'Operator Details'!A:A,0))&gt;4.5,"Yes","No"))</f>
        <v>Yes</v>
      </c>
    </row>
    <row r="52" spans="1:3" x14ac:dyDescent="0.2">
      <c r="A52" t="str">
        <v>Trotters Coaches</v>
      </c>
      <c r="B52" s="1" t="str">
        <f>IF(IFERROR(INDEX('Operator Details'!E:E,MATCH('Operator Data Check'!A52,'Operator Details'!A:A,0))&lt;&gt;"",FALSE),"Yes","No")</f>
        <v>Yes</v>
      </c>
      <c r="C52" s="1" t="str">
        <f>IF(B52="No","N/A",IF(INDEX('Operator Details'!H:H,MATCH('Operator Data Check'!A52,'Operator Details'!A:A,0))&gt;4.5,"Yes","No"))</f>
        <v>Yes</v>
      </c>
    </row>
    <row r="53" spans="1:3" x14ac:dyDescent="0.2">
      <c r="A53" t="str">
        <v>Ventura Bus Lines</v>
      </c>
      <c r="B53" s="1" t="str">
        <f>IF(IFERROR(INDEX('Operator Details'!E:E,MATCH('Operator Data Check'!A53,'Operator Details'!A:A,0))&lt;&gt;"",FALSE),"Yes","No")</f>
        <v>Yes</v>
      </c>
      <c r="C53" s="1" t="str">
        <f>IF(B53="No","N/A",IF(INDEX('Operator Details'!H:H,MATCH('Operator Data Check'!A53,'Operator Details'!A:A,0))&gt;4.5,"Yes","No"))</f>
        <v>Yes</v>
      </c>
    </row>
    <row r="54" spans="1:3" x14ac:dyDescent="0.2">
      <c r="A54" t="str">
        <v>Warragul Bus Lines</v>
      </c>
      <c r="B54" s="1" t="str">
        <f>IF(IFERROR(INDEX('Operator Details'!E:E,MATCH('Operator Data Check'!A54,'Operator Details'!A:A,0))&lt;&gt;"",FALSE),"Yes","No")</f>
        <v>Yes</v>
      </c>
      <c r="C54" s="1" t="str">
        <f>IF(B54="No","N/A",IF(INDEX('Operator Details'!H:H,MATCH('Operator Data Check'!A54,'Operator Details'!A:A,0))&gt;4.5,"Yes","No"))</f>
        <v>Yes</v>
      </c>
    </row>
    <row r="55" spans="1:3" x14ac:dyDescent="0.2">
      <c r="A55" t="str">
        <v>Warrnambool Bus Lines</v>
      </c>
      <c r="B55" s="1" t="str">
        <f>IF(IFERROR(INDEX('Operator Details'!E:E,MATCH('Operator Data Check'!A55,'Operator Details'!A:A,0))&lt;&gt;"",FALSE),"Yes","No")</f>
        <v>Yes</v>
      </c>
      <c r="C55" s="1" t="str">
        <f>IF(B55="No","N/A",IF(INDEX('Operator Details'!H:H,MATCH('Operator Data Check'!A55,'Operator Details'!A:A,0))&gt;4.5,"Yes","No"))</f>
        <v>Yes</v>
      </c>
    </row>
    <row r="56" spans="1:3" x14ac:dyDescent="0.2">
      <c r="A56" t="str">
        <v>Westernport Roadlines</v>
      </c>
      <c r="B56" s="1" t="str">
        <f>IF(IFERROR(INDEX('Operator Details'!E:E,MATCH('Operator Data Check'!A56,'Operator Details'!A:A,0))&lt;&gt;"",FALSE),"Yes","No")</f>
        <v>Yes</v>
      </c>
      <c r="C56" s="1" t="str">
        <f>IF(B56="No","N/A",IF(INDEX('Operator Details'!H:H,MATCH('Operator Data Check'!A56,'Operator Details'!A:A,0))&gt;4.5,"Yes","No"))</f>
        <v>Yes</v>
      </c>
    </row>
    <row r="57" spans="1:3" x14ac:dyDescent="0.2">
      <c r="A57" t="str">
        <v>Whitmore Bus Lines (Castlemaine)</v>
      </c>
      <c r="B57" s="1" t="str">
        <f>IF(IFERROR(INDEX('Operator Details'!E:E,MATCH('Operator Data Check'!A57,'Operator Details'!A:A,0))&lt;&gt;"",FALSE),"Yes","No")</f>
        <v>Yes</v>
      </c>
      <c r="C57" s="1" t="str">
        <f>IF(B57="No","N/A",IF(INDEX('Operator Details'!H:H,MATCH('Operator Data Check'!A57,'Operator Details'!A:A,0))&gt;4.5,"Yes","No"))</f>
        <v>Yes</v>
      </c>
    </row>
    <row r="58" spans="1:3" x14ac:dyDescent="0.2">
      <c r="A58" t="str">
        <v>Whitmore Bus Lines (Maryborough)</v>
      </c>
      <c r="B58" s="1" t="str">
        <f>IF(IFERROR(INDEX('Operator Details'!E:E,MATCH('Operator Data Check'!A58,'Operator Details'!A:A,0))&lt;&gt;"",FALSE),"Yes","No")</f>
        <v>Yes</v>
      </c>
      <c r="C58" s="1" t="str">
        <f>IF(B58="No","N/A",IF(INDEX('Operator Details'!H:H,MATCH('Operator Data Check'!A58,'Operator Details'!A:A,0))&gt;4.5,"Yes","No"))</f>
        <v>Yes</v>
      </c>
    </row>
    <row r="59" spans="1:3" x14ac:dyDescent="0.2">
      <c r="A59" t="str">
        <v>Whitmore Bus Lines (Strathfieldsaye)</v>
      </c>
      <c r="B59" s="1" t="str">
        <f>IF(IFERROR(INDEX('Operator Details'!E:E,MATCH('Operator Data Check'!A59,'Operator Details'!A:A,0))&lt;&gt;"",FALSE),"Yes","No")</f>
        <v>Yes</v>
      </c>
      <c r="C59" s="1" t="str">
        <f>IF(B59="No","N/A",IF(INDEX('Operator Details'!H:H,MATCH('Operator Data Check'!A59,'Operator Details'!A:A,0))&gt;4.5,"Yes","No"))</f>
        <v>Yes</v>
      </c>
    </row>
    <row r="60" spans="1:3" x14ac:dyDescent="0.2">
      <c r="A60" t="str">
        <v>Wimmera Roadways</v>
      </c>
      <c r="B60" s="1" t="str">
        <f>IF(IFERROR(INDEX('Operator Details'!E:E,MATCH('Operator Data Check'!A60,'Operator Details'!A:A,0))&lt;&gt;"",FALSE),"Yes","No")</f>
        <v>Yes</v>
      </c>
      <c r="C60" s="1" t="str">
        <f>IF(B60="No","N/A",IF(INDEX('Operator Details'!H:H,MATCH('Operator Data Check'!A60,'Operator Details'!A:A,0))&gt;4.5,"Yes","No"))</f>
        <v>Yes</v>
      </c>
    </row>
    <row r="61" spans="1:3" x14ac:dyDescent="0.2">
      <c r="A61" t="str">
        <v>Yarrawonga &amp; Mulwala Taxis</v>
      </c>
      <c r="B61" s="1" t="str">
        <f>IF(IFERROR(INDEX('Operator Details'!E:E,MATCH('Operator Data Check'!A61,'Operator Details'!A:A,0))&lt;&gt;"",FALSE),"Yes","No")</f>
        <v>No</v>
      </c>
      <c r="C61" s="1" t="str">
        <f>IF(B61="No","N/A",IF(INDEX('Operator Details'!H:H,MATCH('Operator Data Check'!A61,'Operator Details'!A:A,0))&gt;4.5,"Yes","No"))</f>
        <v>N/A</v>
      </c>
    </row>
    <row r="62" spans="1:3" x14ac:dyDescent="0.2">
      <c r="A62" t="str">
        <v>Zaffina Bus Lines</v>
      </c>
      <c r="B62" s="1" t="str">
        <f>IF(IFERROR(INDEX('Operator Details'!E:E,MATCH('Operator Data Check'!A62,'Operator Details'!A:A,0))&lt;&gt;"",FALSE),"Yes","No")</f>
        <v>Yes</v>
      </c>
      <c r="C62" s="1" t="str">
        <f>IF(B62="No","N/A",IF(INDEX('Operator Details'!H:H,MATCH('Operator Data Check'!A62,'Operator Details'!A:A,0))&gt;4.5,"Yes","No"))</f>
        <v>Yes</v>
      </c>
    </row>
    <row r="63" spans="1:3" x14ac:dyDescent="0.2">
      <c r="B63" s="1" t="str">
        <f>IF(IFERROR(INDEX('Operator Details'!E:E,MATCH('Operator Data Check'!A63,'Operator Details'!A:A,0))&lt;&gt;"",FALSE),"Yes","No")</f>
        <v>No</v>
      </c>
      <c r="C63" s="1" t="str">
        <f>IF(B63="No","N/A",IF(INDEX('Operator Details'!H:H,MATCH('Operator Data Check'!A63,'Operator Details'!A:A,0))&gt;4.5,"Yes","No"))</f>
        <v>N/A</v>
      </c>
    </row>
    <row r="64" spans="1:3" x14ac:dyDescent="0.2">
      <c r="B64" s="1" t="str">
        <f>IF(IFERROR(INDEX('Operator Details'!E:E,MATCH('Operator Data Check'!A64,'Operator Details'!A:A,0))&lt;&gt;"",FALSE),"Yes","No")</f>
        <v>No</v>
      </c>
      <c r="C64" s="1" t="str">
        <f>IF(B64="No","N/A",IF(INDEX('Operator Details'!H:H,MATCH('Operator Data Check'!A64,'Operator Details'!A:A,0))&gt;4.5,"Yes","No"))</f>
        <v>N/A</v>
      </c>
    </row>
    <row r="65" spans="2:3" x14ac:dyDescent="0.2">
      <c r="B65" s="1" t="str">
        <f>IF(IFERROR(INDEX('Operator Details'!E:E,MATCH('Operator Data Check'!A65,'Operator Details'!A:A,0))&lt;&gt;"",FALSE),"Yes","No")</f>
        <v>No</v>
      </c>
      <c r="C65" s="1" t="str">
        <f>IF(B65="No","N/A",IF(INDEX('Operator Details'!H:H,MATCH('Operator Data Check'!A65,'Operator Details'!A:A,0))&gt;4.5,"Yes","No"))</f>
        <v>N/A</v>
      </c>
    </row>
    <row r="66" spans="2:3" x14ac:dyDescent="0.2">
      <c r="B66" s="1" t="str">
        <f>IF(IFERROR(INDEX('Operator Details'!E:E,MATCH('Operator Data Check'!A66,'Operator Details'!A:A,0))&lt;&gt;"",FALSE),"Yes","No")</f>
        <v>No</v>
      </c>
      <c r="C66" s="1" t="str">
        <f>IF(B66="No","N/A",IF(INDEX('Operator Details'!H:H,MATCH('Operator Data Check'!A66,'Operator Details'!A:A,0))&gt;4.5,"Yes","No"))</f>
        <v>N/A</v>
      </c>
    </row>
    <row r="67" spans="2:3" x14ac:dyDescent="0.2">
      <c r="B67" s="1" t="str">
        <f>IF(IFERROR(INDEX('Operator Details'!E:E,MATCH('Operator Data Check'!A67,'Operator Details'!A:A,0))&lt;&gt;"",FALSE),"Yes","No")</f>
        <v>No</v>
      </c>
      <c r="C67" s="1" t="str">
        <f>IF(B67="No","N/A",IF(INDEX('Operator Details'!H:H,MATCH('Operator Data Check'!A67,'Operator Details'!A:A,0))&gt;4.5,"Yes","No"))</f>
        <v>N/A</v>
      </c>
    </row>
    <row r="68" spans="2:3" x14ac:dyDescent="0.2">
      <c r="B68" s="1" t="str">
        <f>IF(IFERROR(INDEX('Operator Details'!E:E,MATCH('Operator Data Check'!A68,'Operator Details'!A:A,0))&lt;&gt;"",FALSE),"Yes","No")</f>
        <v>No</v>
      </c>
      <c r="C68" s="1" t="str">
        <f>IF(B68="No","N/A",IF(INDEX('Operator Details'!H:H,MATCH('Operator Data Check'!A68,'Operator Details'!A:A,0))&gt;4.5,"Yes","No"))</f>
        <v>N/A</v>
      </c>
    </row>
    <row r="69" spans="2:3" x14ac:dyDescent="0.2">
      <c r="B69" s="1" t="str">
        <f>IF(IFERROR(INDEX('Operator Details'!E:E,MATCH('Operator Data Check'!A69,'Operator Details'!A:A,0))&lt;&gt;"",FALSE),"Yes","No")</f>
        <v>No</v>
      </c>
      <c r="C69" s="1" t="str">
        <f>IF(B69="No","N/A",IF(INDEX('Operator Details'!H:H,MATCH('Operator Data Check'!A69,'Operator Details'!A:A,0))&gt;4.5,"Yes","No"))</f>
        <v>N/A</v>
      </c>
    </row>
  </sheetData>
  <conditionalFormatting sqref="B1:C1048576">
    <cfRule type="containsText" dxfId="0" priority="1" operator="containsText" text="NO">
      <formula>NOT(ISERROR(SEARCH("NO",B1)))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Metro</vt:lpstr>
      <vt:lpstr>Regional - Numbered</vt:lpstr>
      <vt:lpstr>Regional - Inter Town Link</vt:lpstr>
      <vt:lpstr>Operator Details</vt:lpstr>
      <vt:lpstr>Operator Data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Lam Edward Yeung</dc:creator>
  <cp:lastModifiedBy>Edward Yeung</cp:lastModifiedBy>
  <dcterms:created xsi:type="dcterms:W3CDTF">2024-06-08T07:14:10Z</dcterms:created>
  <dcterms:modified xsi:type="dcterms:W3CDTF">2026-10-25T04:00:46Z</dcterms:modified>
</cp:coreProperties>
</file>